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46227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46227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46227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46227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46227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46227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46227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50432-2025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46227</v>
      </c>
      <c r="F9" t="inlineStr">
        <is>
          <t>VÄSTRA GÖTALANDS LÄN</t>
        </is>
      </c>
      <c r="G9" t="inlineStr">
        <is>
          <t>STRÖMSTAD</t>
        </is>
      </c>
      <c r="I9" t="n">
        <v>4.9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Blåmossa
Spillkråka</t>
        </is>
      </c>
      <c r="W9">
        <f>HYPERLINK("https://klasma.github.io/Logging_1486/artfynd/A 50432-2025 artfynd.xlsx", "A 50432-2025")</f>
        <v/>
      </c>
      <c r="X9">
        <f>HYPERLINK("https://klasma.github.io/Logging_1486/kartor/A 50432-2025 karta.png", "A 50432-2025")</f>
        <v/>
      </c>
      <c r="Y9">
        <f>HYPERLINK("https://klasma.github.io/Logging_1486/kartor_geotiff/A 50432-2025 georefererad karta.tif", "A 50432-2025")</f>
        <v/>
      </c>
      <c r="AA9">
        <f>HYPERLINK("https://klasma.github.io/Logging_1486/klagomål/A 50432-2025 FSC-klagomål.docx", "A 50432-2025")</f>
        <v/>
      </c>
      <c r="AB9">
        <f>HYPERLINK("https://klasma.github.io/Logging_1486/klagomålsmail/A 50432-2025 FSC-klagomål mail.docx", "A 50432-2025")</f>
        <v/>
      </c>
      <c r="AC9">
        <f>HYPERLINK("https://klasma.github.io/Logging_1486/tillsyn/A 50432-2025 tillsynsbegäran.docx", "A 50432-2025")</f>
        <v/>
      </c>
      <c r="AD9">
        <f>HYPERLINK("https://klasma.github.io/Logging_1486/tillsynsmail/A 50432-2025 tillsynsbegäran mail.docx", "A 50432-2025")</f>
        <v/>
      </c>
      <c r="AE9">
        <f>HYPERLINK("https://klasma.github.io/Logging_1486/fåglar/A 50432-2025 prioriterade fågelarter.docx", "A 50432-2025")</f>
        <v/>
      </c>
    </row>
    <row r="10" ht="15" customHeight="1">
      <c r="A10" t="inlineStr">
        <is>
          <t>A 50437-2025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45944</v>
      </c>
      <c r="E10" s="1" t="n">
        <v>46227</v>
      </c>
      <c r="F10" t="inlineStr">
        <is>
          <t>VÄSTRA GÖTALANDS LÄN</t>
        </is>
      </c>
      <c r="G10" t="inlineStr">
        <is>
          <t>STRÖMSTAD</t>
        </is>
      </c>
      <c r="I10" t="n">
        <v>3.6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Älg
Blåmossa
Spillkråka</t>
        </is>
      </c>
      <c r="W10">
        <f>HYPERLINK("https://klasma.github.io/Logging_1486/artfynd/A 50437-2025 artfynd.xlsx", "A 50437-2025")</f>
        <v/>
      </c>
      <c r="X10">
        <f>HYPERLINK("https://klasma.github.io/Logging_1486/kartor/A 50437-2025 karta.png", "A 50437-2025")</f>
        <v/>
      </c>
      <c r="Y10">
        <f>HYPERLINK("https://klasma.github.io/Logging_1486/kartor_geotiff/A 50437-2025 georefererad karta.tif", "A 50437-2025")</f>
        <v/>
      </c>
      <c r="AA10">
        <f>HYPERLINK("https://klasma.github.io/Logging_1486/klagomål/A 50437-2025 FSC-klagomål.docx", "A 50437-2025")</f>
        <v/>
      </c>
      <c r="AB10">
        <f>HYPERLINK("https://klasma.github.io/Logging_1486/klagomålsmail/A 50437-2025 FSC-klagomål mail.docx", "A 50437-2025")</f>
        <v/>
      </c>
      <c r="AC10">
        <f>HYPERLINK("https://klasma.github.io/Logging_1486/tillsyn/A 50437-2025 tillsynsbegäran.docx", "A 50437-2025")</f>
        <v/>
      </c>
      <c r="AD10">
        <f>HYPERLINK("https://klasma.github.io/Logging_1486/tillsynsmail/A 50437-2025 tillsynsbegäran mail.docx", "A 50437-2025")</f>
        <v/>
      </c>
      <c r="AE10">
        <f>HYPERLINK("https://klasma.github.io/Logging_1486/fåglar/A 50437-2025 prioriterade fågelarter.docx", "A 50437-2025")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46227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46227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46227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56318-2025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45974</v>
      </c>
      <c r="E14" s="1" t="n">
        <v>46227</v>
      </c>
      <c r="F14" t="inlineStr">
        <is>
          <t>VÄSTRA GÖTALANDS LÄN</t>
        </is>
      </c>
      <c r="G14" t="inlineStr">
        <is>
          <t>STRÖMSTAD</t>
        </is>
      </c>
      <c r="I14" t="n">
        <v>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Kopparödla</t>
        </is>
      </c>
      <c r="W14">
        <f>HYPERLINK("https://klasma.github.io/Logging_1486/artfynd/A 56318-2025 artfynd.xlsx", "A 56318-2025")</f>
        <v/>
      </c>
      <c r="X14">
        <f>HYPERLINK("https://klasma.github.io/Logging_1486/kartor/A 56318-2025 karta.png", "A 56318-2025")</f>
        <v/>
      </c>
      <c r="Y14">
        <f>HYPERLINK("https://klasma.github.io/Logging_1486/kartor_geotiff/A 56318-2025 georefererad karta.tif", "A 56318-2025")</f>
        <v/>
      </c>
      <c r="AA14">
        <f>HYPERLINK("https://klasma.github.io/Logging_1486/klagomål/A 56318-2025 FSC-klagomål.docx", "A 56318-2025")</f>
        <v/>
      </c>
      <c r="AB14">
        <f>HYPERLINK("https://klasma.github.io/Logging_1486/klagomålsmail/A 56318-2025 FSC-klagomål mail.docx", "A 56318-2025")</f>
        <v/>
      </c>
      <c r="AC14">
        <f>HYPERLINK("https://klasma.github.io/Logging_1486/tillsyn/A 56318-2025 tillsynsbegäran.docx", "A 56318-2025")</f>
        <v/>
      </c>
      <c r="AD14">
        <f>HYPERLINK("https://klasma.github.io/Logging_1486/tillsynsmail/A 56318-2025 tillsynsbegäran mail.docx", "A 56318-2025")</f>
        <v/>
      </c>
      <c r="AE14">
        <f>HYPERLINK("https://klasma.github.io/Logging_1486/fåglar/A 56318-2025 prioriterade fågelarter.docx", "A 56318-2025")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46227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46227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46227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46227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46227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46227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46227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12779-2025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46227</v>
      </c>
      <c r="F22" t="inlineStr">
        <is>
          <t>VÄSTRA GÖTALANDS LÄN</t>
        </is>
      </c>
      <c r="G22" t="inlineStr">
        <is>
          <t>STRÖMSTAD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HYPERLINK("https://klasma.github.io/Logging_1486/artfynd/A 12779-2025 artfynd.xlsx", "A 12779-2025")</f>
        <v/>
      </c>
      <c r="X22">
        <f>HYPERLINK("https://klasma.github.io/Logging_1486/kartor/A 12779-2025 karta.png", "A 12779-2025")</f>
        <v/>
      </c>
      <c r="Y22">
        <f>HYPERLINK("https://klasma.github.io/Logging_1486/kartor_geotiff/A 12779-2025 georefererad karta.tif", "A 12779-2025")</f>
        <v/>
      </c>
      <c r="AA22">
        <f>HYPERLINK("https://klasma.github.io/Logging_1486/klagomål/A 12779-2025 FSC-klagomål.docx", "A 12779-2025")</f>
        <v/>
      </c>
      <c r="AB22">
        <f>HYPERLINK("https://klasma.github.io/Logging_1486/klagomålsmail/A 12779-2025 FSC-klagomål mail.docx", "A 12779-2025")</f>
        <v/>
      </c>
      <c r="AC22">
        <f>HYPERLINK("https://klasma.github.io/Logging_1486/tillsyn/A 12779-2025 tillsynsbegäran.docx", "A 12779-2025")</f>
        <v/>
      </c>
      <c r="AD22">
        <f>HYPERLINK("https://klasma.github.io/Logging_1486/tillsynsmail/A 12779-2025 tillsynsbegäran mail.docx", "A 12779-2025")</f>
        <v/>
      </c>
      <c r="AE22">
        <f>HYPERLINK("https://klasma.github.io/Logging_1486/fåglar/A 12779-2025 prioriterade fågelarter.docx", "A 12779-2025")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46227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12238-2025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46227</v>
      </c>
      <c r="F24" t="inlineStr">
        <is>
          <t>VÄSTRA GÖTALANDS LÄN</t>
        </is>
      </c>
      <c r="G24" t="inlineStr">
        <is>
          <t>STRÖMSTAD</t>
        </is>
      </c>
      <c r="I24" t="n">
        <v>10.6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HYPERLINK("https://klasma.github.io/Logging_1486/artfynd/A 12238-2025 artfynd.xlsx", "A 12238-2025")</f>
        <v/>
      </c>
      <c r="X24">
        <f>HYPERLINK("https://klasma.github.io/Logging_1486/kartor/A 12238-2025 karta.png", "A 12238-2025")</f>
        <v/>
      </c>
      <c r="Y24">
        <f>HYPERLINK("https://klasma.github.io/Logging_1486/kartor_geotiff/A 12238-2025 georefererad karta.tif", "A 12238-2025")</f>
        <v/>
      </c>
      <c r="AA24">
        <f>HYPERLINK("https://klasma.github.io/Logging_1486/klagomål/A 12238-2025 FSC-klagomål.docx", "A 12238-2025")</f>
        <v/>
      </c>
      <c r="AB24">
        <f>HYPERLINK("https://klasma.github.io/Logging_1486/klagomålsmail/A 12238-2025 FSC-klagomål mail.docx", "A 12238-2025")</f>
        <v/>
      </c>
      <c r="AC24">
        <f>HYPERLINK("https://klasma.github.io/Logging_1486/tillsyn/A 12238-2025 tillsynsbegäran.docx", "A 12238-2025")</f>
        <v/>
      </c>
      <c r="AD24">
        <f>HYPERLINK("https://klasma.github.io/Logging_1486/tillsynsmail/A 12238-2025 tillsynsbegäran mail.docx", "A 12238-2025")</f>
        <v/>
      </c>
      <c r="AE24">
        <f>HYPERLINK("https://klasma.github.io/Logging_1486/fåglar/A 12238-2025 prioriterade fågelarter.docx", "A 12238-2025")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46227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46227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46227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14455-2026 artfynd.xlsx", "A 14455-2026")</f>
        <v/>
      </c>
      <c r="X27">
        <f>HYPERLINK("https://klasma.github.io/Logging_1486/kartor/A 14455-2026 karta.png", "A 14455-2026")</f>
        <v/>
      </c>
      <c r="Y27">
        <f>HYPERLINK("https://klasma.github.io/Logging_1486/kartor_geotiff/A 14455-2026 georefererad karta.tif", "A 14455-2026")</f>
        <v/>
      </c>
      <c r="AA27">
        <f>HYPERLINK("https://klasma.github.io/Logging_1486/klagomål/A 14455-2026 FSC-klagomål.docx", "A 14455-2026")</f>
        <v/>
      </c>
      <c r="AB27">
        <f>HYPERLINK("https://klasma.github.io/Logging_1486/klagomålsmail/A 14455-2026 FSC-klagomål mail.docx", "A 14455-2026")</f>
        <v/>
      </c>
      <c r="AC27">
        <f>HYPERLINK("https://klasma.github.io/Logging_1486/tillsyn/A 14455-2026 tillsynsbegäran.docx", "A 14455-2026")</f>
        <v/>
      </c>
      <c r="AD27">
        <f>HYPERLINK("https://klasma.github.io/Logging_1486/tillsynsmail/A 14455-2026 tillsynsbegäran mail.docx", "A 14455-2026")</f>
        <v/>
      </c>
    </row>
    <row r="28" ht="15" customHeight="1">
      <c r="A28" t="inlineStr">
        <is>
          <t>A 33772-2023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45133</v>
      </c>
      <c r="E28" s="1" t="n">
        <v>46227</v>
      </c>
      <c r="F28" t="inlineStr">
        <is>
          <t>VÄSTRA GÖTALANDS LÄN</t>
        </is>
      </c>
      <c r="G28" t="inlineStr">
        <is>
          <t>STRÖMSTAD</t>
        </is>
      </c>
      <c r="I28" t="n">
        <v>2.2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Entita</t>
        </is>
      </c>
      <c r="W28">
        <f>HYPERLINK("https://klasma.github.io/Logging_1486/artfynd/A 33772-2023 artfynd.xlsx", "A 33772-2023")</f>
        <v/>
      </c>
      <c r="X28">
        <f>HYPERLINK("https://klasma.github.io/Logging_1486/kartor/A 33772-2023 karta.png", "A 33772-2023")</f>
        <v/>
      </c>
      <c r="Y28">
        <f>HYPERLINK("https://klasma.github.io/Logging_1486/kartor_geotiff/A 33772-2023 georefererad karta.tif", "A 33772-2023")</f>
        <v/>
      </c>
      <c r="AA28">
        <f>HYPERLINK("https://klasma.github.io/Logging_1486/klagomål/A 33772-2023 FSC-klagomål.docx", "A 33772-2023")</f>
        <v/>
      </c>
      <c r="AB28">
        <f>HYPERLINK("https://klasma.github.io/Logging_1486/klagomålsmail/A 33772-2023 FSC-klagomål mail.docx", "A 33772-2023")</f>
        <v/>
      </c>
      <c r="AC28">
        <f>HYPERLINK("https://klasma.github.io/Logging_1486/tillsyn/A 33772-2023 tillsynsbegäran.docx", "A 33772-2023")</f>
        <v/>
      </c>
      <c r="AD28">
        <f>HYPERLINK("https://klasma.github.io/Logging_1486/tillsynsmail/A 33772-2023 tillsynsbegäran mail.docx", "A 33772-2023")</f>
        <v/>
      </c>
      <c r="AE28">
        <f>HYPERLINK("https://klasma.github.io/Logging_1486/fåglar/A 33772-2023 prioriterade fågelarter.docx", "A 33772-2023")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46227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6128-2026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46054</v>
      </c>
      <c r="E30" s="1" t="n">
        <v>46227</v>
      </c>
      <c r="F30" t="inlineStr">
        <is>
          <t>VÄSTRA GÖTALANDS LÄN</t>
        </is>
      </c>
      <c r="G30" t="inlineStr">
        <is>
          <t>STRÖMSTAD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HYPERLINK("https://klasma.github.io/Logging_1486/artfynd/A 6128-2026 artfynd.xlsx", "A 6128-2026")</f>
        <v/>
      </c>
      <c r="X30">
        <f>HYPERLINK("https://klasma.github.io/Logging_1486/kartor/A 6128-2026 karta.png", "A 6128-2026")</f>
        <v/>
      </c>
      <c r="Y30">
        <f>HYPERLINK("https://klasma.github.io/Logging_1486/kartor_geotiff/A 6128-2026 georefererad karta.tif", "A 6128-2026")</f>
        <v/>
      </c>
      <c r="AA30">
        <f>HYPERLINK("https://klasma.github.io/Logging_1486/klagomål/A 6128-2026 FSC-klagomål.docx", "A 6128-2026")</f>
        <v/>
      </c>
      <c r="AB30">
        <f>HYPERLINK("https://klasma.github.io/Logging_1486/klagomålsmail/A 6128-2026 FSC-klagomål mail.docx", "A 6128-2026")</f>
        <v/>
      </c>
      <c r="AC30">
        <f>HYPERLINK("https://klasma.github.io/Logging_1486/tillsyn/A 6128-2026 tillsynsbegäran.docx", "A 6128-2026")</f>
        <v/>
      </c>
      <c r="AD30">
        <f>HYPERLINK("https://klasma.github.io/Logging_1486/tillsynsmail/A 6128-2026 tillsynsbegäran mail.docx", "A 6128-2026")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46227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46227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46227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46227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46227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46227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46227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46227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46227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46227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46227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46227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46227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46227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46227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46227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46227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46227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46227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46227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46227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46227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46227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46227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46227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46227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46227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61250-2024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45645</v>
      </c>
      <c r="E58" s="1" t="n">
        <v>46227</v>
      </c>
      <c r="F58" t="inlineStr">
        <is>
          <t>VÄSTRA GÖTALANDS LÄN</t>
        </is>
      </c>
      <c r="G58" t="inlineStr">
        <is>
          <t>STRÖMSTAD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55712-2022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44885</v>
      </c>
      <c r="E59" s="1" t="n">
        <v>46227</v>
      </c>
      <c r="F59" t="inlineStr">
        <is>
          <t>VÄSTRA GÖTALANDS LÄN</t>
        </is>
      </c>
      <c r="G59" t="inlineStr">
        <is>
          <t>STRÖMSTAD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45757</v>
      </c>
      <c r="E60" s="1" t="n">
        <v>46227</v>
      </c>
      <c r="F60" t="inlineStr">
        <is>
          <t>VÄSTRA GÖTALANDS LÄN</t>
        </is>
      </c>
      <c r="G60" t="inlineStr">
        <is>
          <t>STRÖMSTAD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46227</v>
      </c>
      <c r="F61" t="inlineStr">
        <is>
          <t>VÄSTRA GÖTALANDS LÄN</t>
        </is>
      </c>
      <c r="G61" t="inlineStr">
        <is>
          <t>STRÖMSTAD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46227</v>
      </c>
      <c r="F62" t="inlineStr">
        <is>
          <t>VÄSTRA GÖTALANDS LÄN</t>
        </is>
      </c>
      <c r="G62" t="inlineStr">
        <is>
          <t>STRÖMSTAD</t>
        </is>
      </c>
      <c r="H62" t="inlineStr">
        <is>
          <t>Kommuner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54374-2022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46227</v>
      </c>
      <c r="F63" t="inlineStr">
        <is>
          <t>VÄSTRA GÖTALANDS LÄN</t>
        </is>
      </c>
      <c r="G63" t="inlineStr">
        <is>
          <t>STRÖMSTAD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45582</v>
      </c>
      <c r="E64" s="1" t="n">
        <v>46227</v>
      </c>
      <c r="F64" t="inlineStr">
        <is>
          <t>VÄSTRA GÖTALANDS LÄN</t>
        </is>
      </c>
      <c r="G64" t="inlineStr">
        <is>
          <t>STRÖMSTAD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46227</v>
      </c>
      <c r="F65" t="inlineStr">
        <is>
          <t>VÄSTRA GÖTALANDS LÄN</t>
        </is>
      </c>
      <c r="G65" t="inlineStr">
        <is>
          <t>STRÖMSTAD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46227</v>
      </c>
      <c r="F66" t="inlineStr">
        <is>
          <t>VÄSTRA GÖTALANDS LÄN</t>
        </is>
      </c>
      <c r="G66" t="inlineStr">
        <is>
          <t>STRÖMSTAD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45739</v>
      </c>
      <c r="E67" s="1" t="n">
        <v>46227</v>
      </c>
      <c r="F67" t="inlineStr">
        <is>
          <t>VÄSTRA GÖTALANDS LÄN</t>
        </is>
      </c>
      <c r="G67" t="inlineStr">
        <is>
          <t>STRÖMSTAD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11931-2025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45728</v>
      </c>
      <c r="E68" s="1" t="n">
        <v>46227</v>
      </c>
      <c r="F68" t="inlineStr">
        <is>
          <t>VÄSTRA GÖTALANDS LÄN</t>
        </is>
      </c>
      <c r="G68" t="inlineStr">
        <is>
          <t>STRÖMSTAD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45739</v>
      </c>
      <c r="E69" s="1" t="n">
        <v>46227</v>
      </c>
      <c r="F69" t="inlineStr">
        <is>
          <t>VÄSTRA GÖTALANDS LÄN</t>
        </is>
      </c>
      <c r="G69" t="inlineStr">
        <is>
          <t>STRÖMSTAD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46227</v>
      </c>
      <c r="F70" t="inlineStr">
        <is>
          <t>VÄSTRA GÖTALANDS LÄN</t>
        </is>
      </c>
      <c r="G70" t="inlineStr">
        <is>
          <t>STRÖMSTAD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44408-2021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44435</v>
      </c>
      <c r="E71" s="1" t="n">
        <v>46227</v>
      </c>
      <c r="F71" t="inlineStr">
        <is>
          <t>VÄSTRA GÖTALANDS LÄN</t>
        </is>
      </c>
      <c r="G71" t="inlineStr">
        <is>
          <t>STRÖMSTAD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45596</v>
      </c>
      <c r="E72" s="1" t="n">
        <v>46227</v>
      </c>
      <c r="F72" t="inlineStr">
        <is>
          <t>VÄSTRA GÖTALANDS LÄN</t>
        </is>
      </c>
      <c r="G72" t="inlineStr">
        <is>
          <t>STRÖMSTAD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45483</v>
      </c>
      <c r="E73" s="1" t="n">
        <v>46227</v>
      </c>
      <c r="F73" t="inlineStr">
        <is>
          <t>VÄSTRA GÖTALANDS LÄN</t>
        </is>
      </c>
      <c r="G73" t="inlineStr">
        <is>
          <t>STRÖMSTAD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54126-2025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45964</v>
      </c>
      <c r="E74" s="1" t="n">
        <v>46227</v>
      </c>
      <c r="F74" t="inlineStr">
        <is>
          <t>VÄSTRA GÖTALANDS LÄN</t>
        </is>
      </c>
      <c r="G74" t="inlineStr">
        <is>
          <t>STRÖMSTAD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46227</v>
      </c>
      <c r="F75" t="inlineStr">
        <is>
          <t>VÄSTRA GÖTALANDS LÄN</t>
        </is>
      </c>
      <c r="G75" t="inlineStr">
        <is>
          <t>STRÖMSTAD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46227</v>
      </c>
      <c r="F76" t="inlineStr">
        <is>
          <t>VÄSTRA GÖTALANDS LÄN</t>
        </is>
      </c>
      <c r="G76" t="inlineStr">
        <is>
          <t>STRÖMSTAD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46227</v>
      </c>
      <c r="F77" t="inlineStr">
        <is>
          <t>VÄSTRA GÖTALANDS LÄN</t>
        </is>
      </c>
      <c r="G77" t="inlineStr">
        <is>
          <t>STRÖMSTAD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46227</v>
      </c>
      <c r="F78" t="inlineStr">
        <is>
          <t>VÄSTRA GÖTALANDS LÄN</t>
        </is>
      </c>
      <c r="G78" t="inlineStr">
        <is>
          <t>STRÖMSTAD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44649</v>
      </c>
      <c r="E79" s="1" t="n">
        <v>46227</v>
      </c>
      <c r="F79" t="inlineStr">
        <is>
          <t>VÄSTRA GÖTALANDS LÄN</t>
        </is>
      </c>
      <c r="G79" t="inlineStr">
        <is>
          <t>STRÖMSTAD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15552-2023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45018</v>
      </c>
      <c r="E80" s="1" t="n">
        <v>46227</v>
      </c>
      <c r="F80" t="inlineStr">
        <is>
          <t>VÄSTRA GÖTALANDS LÄN</t>
        </is>
      </c>
      <c r="G80" t="inlineStr">
        <is>
          <t>STRÖMSTAD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45972</v>
      </c>
      <c r="E81" s="1" t="n">
        <v>46227</v>
      </c>
      <c r="F81" t="inlineStr">
        <is>
          <t>VÄSTRA GÖTALANDS LÄN</t>
        </is>
      </c>
      <c r="G81" t="inlineStr">
        <is>
          <t>STRÖMSTAD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46227</v>
      </c>
      <c r="F82" t="inlineStr">
        <is>
          <t>VÄSTRA GÖTALANDS LÄN</t>
        </is>
      </c>
      <c r="G82" t="inlineStr">
        <is>
          <t>STRÖMSTAD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33131-2023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46227</v>
      </c>
      <c r="F83" t="inlineStr">
        <is>
          <t>VÄSTRA GÖTALANDS LÄN</t>
        </is>
      </c>
      <c r="G83" t="inlineStr">
        <is>
          <t>STRÖMSTAD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58226-2025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45985</v>
      </c>
      <c r="E84" s="1" t="n">
        <v>46227</v>
      </c>
      <c r="F84" t="inlineStr">
        <is>
          <t>VÄSTRA GÖTALANDS LÄN</t>
        </is>
      </c>
      <c r="G84" t="inlineStr">
        <is>
          <t>STRÖMSTAD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45748</v>
      </c>
      <c r="E85" s="1" t="n">
        <v>46227</v>
      </c>
      <c r="F85" t="inlineStr">
        <is>
          <t>VÄSTRA GÖTALANDS LÄN</t>
        </is>
      </c>
      <c r="G85" t="inlineStr">
        <is>
          <t>STRÖMSTAD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44319-2025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46227</v>
      </c>
      <c r="F86" t="inlineStr">
        <is>
          <t>VÄSTRA GÖTALANDS LÄN</t>
        </is>
      </c>
      <c r="G86" t="inlineStr">
        <is>
          <t>STRÖMSTAD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46227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46227</v>
      </c>
      <c r="F88" t="inlineStr">
        <is>
          <t>VÄSTRA GÖTALANDS LÄN</t>
        </is>
      </c>
      <c r="G88" t="inlineStr">
        <is>
          <t>STRÖMSTAD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46227</v>
      </c>
      <c r="F89" t="inlineStr">
        <is>
          <t>VÄSTRA GÖTALANDS LÄN</t>
        </is>
      </c>
      <c r="G89" t="inlineStr">
        <is>
          <t>STRÖMSTAD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45578</v>
      </c>
      <c r="E90" s="1" t="n">
        <v>46227</v>
      </c>
      <c r="F90" t="inlineStr">
        <is>
          <t>VÄSTRA GÖTALANDS LÄN</t>
        </is>
      </c>
      <c r="G90" t="inlineStr">
        <is>
          <t>STRÖMSTAD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46227</v>
      </c>
      <c r="F91" t="inlineStr">
        <is>
          <t>VÄSTRA GÖTALANDS LÄN</t>
        </is>
      </c>
      <c r="G91" t="inlineStr">
        <is>
          <t>STRÖMSTAD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46227</v>
      </c>
      <c r="F92" t="inlineStr">
        <is>
          <t>VÄSTRA GÖTALANDS LÄN</t>
        </is>
      </c>
      <c r="G92" t="inlineStr">
        <is>
          <t>STRÖMSTAD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44645</v>
      </c>
      <c r="E93" s="1" t="n">
        <v>46227</v>
      </c>
      <c r="F93" t="inlineStr">
        <is>
          <t>VÄSTRA GÖTALANDS LÄN</t>
        </is>
      </c>
      <c r="G93" t="inlineStr">
        <is>
          <t>STRÖMSTAD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46227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46227</v>
      </c>
      <c r="F95" t="inlineStr">
        <is>
          <t>VÄSTRA GÖTALANDS LÄN</t>
        </is>
      </c>
      <c r="G95" t="inlineStr">
        <is>
          <t>STRÖMSTAD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46227</v>
      </c>
      <c r="F96" t="inlineStr">
        <is>
          <t>VÄSTRA GÖTALANDS LÄN</t>
        </is>
      </c>
      <c r="G96" t="inlineStr">
        <is>
          <t>STRÖMSTAD</t>
        </is>
      </c>
      <c r="H96" t="inlineStr">
        <is>
          <t>Kommuner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46003</v>
      </c>
      <c r="E97" s="1" t="n">
        <v>46227</v>
      </c>
      <c r="F97" t="inlineStr">
        <is>
          <t>VÄSTRA GÖTALANDS LÄN</t>
        </is>
      </c>
      <c r="G97" t="inlineStr">
        <is>
          <t>STRÖMSTAD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44987</v>
      </c>
      <c r="E98" s="1" t="n">
        <v>46227</v>
      </c>
      <c r="F98" t="inlineStr">
        <is>
          <t>VÄSTRA GÖTALANDS LÄN</t>
        </is>
      </c>
      <c r="G98" t="inlineStr">
        <is>
          <t>STRÖMSTAD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46227</v>
      </c>
      <c r="F99" t="inlineStr">
        <is>
          <t>VÄSTRA GÖTALANDS LÄN</t>
        </is>
      </c>
      <c r="G99" t="inlineStr">
        <is>
          <t>STRÖMSTAD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45033</v>
      </c>
      <c r="E100" s="1" t="n">
        <v>46227</v>
      </c>
      <c r="F100" t="inlineStr">
        <is>
          <t>VÄSTRA GÖTALANDS LÄN</t>
        </is>
      </c>
      <c r="G100" t="inlineStr">
        <is>
          <t>STRÖMSTAD</t>
        </is>
      </c>
      <c r="H100" t="inlineStr">
        <is>
          <t>Kommuner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46029</v>
      </c>
      <c r="E101" s="1" t="n">
        <v>46227</v>
      </c>
      <c r="F101" t="inlineStr">
        <is>
          <t>VÄSTRA GÖTALANDS LÄN</t>
        </is>
      </c>
      <c r="G101" t="inlineStr">
        <is>
          <t>STRÖMSTAD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46227</v>
      </c>
      <c r="F102" t="inlineStr">
        <is>
          <t>VÄSTRA GÖTALANDS LÄN</t>
        </is>
      </c>
      <c r="G102" t="inlineStr">
        <is>
          <t>STRÖMSTAD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45133</v>
      </c>
      <c r="E103" s="1" t="n">
        <v>46227</v>
      </c>
      <c r="F103" t="inlineStr">
        <is>
          <t>VÄSTRA GÖTALANDS LÄN</t>
        </is>
      </c>
      <c r="G103" t="inlineStr">
        <is>
          <t>STRÖMSTAD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46034</v>
      </c>
      <c r="E104" s="1" t="n">
        <v>46227</v>
      </c>
      <c r="F104" t="inlineStr">
        <is>
          <t>VÄSTRA GÖTALANDS LÄN</t>
        </is>
      </c>
      <c r="G104" t="inlineStr">
        <is>
          <t>STRÖMSTAD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1945-2026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46227</v>
      </c>
      <c r="F105" t="inlineStr">
        <is>
          <t>VÄSTRA GÖTALANDS LÄN</t>
        </is>
      </c>
      <c r="G105" t="inlineStr">
        <is>
          <t>STRÖMSTAD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45945</v>
      </c>
      <c r="E106" s="1" t="n">
        <v>46227</v>
      </c>
      <c r="F106" t="inlineStr">
        <is>
          <t>VÄSTRA GÖTALANDS LÄN</t>
        </is>
      </c>
      <c r="G106" t="inlineStr">
        <is>
          <t>STRÖMSTAD</t>
        </is>
      </c>
      <c r="H106" t="inlineStr">
        <is>
          <t>Övriga Aktiebolag</t>
        </is>
      </c>
      <c r="I106" t="n">
        <v>14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46227</v>
      </c>
      <c r="F107" t="inlineStr">
        <is>
          <t>VÄSTRA GÖTALANDS LÄN</t>
        </is>
      </c>
      <c r="G107" t="inlineStr">
        <is>
          <t>STRÖMSTAD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46227</v>
      </c>
      <c r="F108" t="inlineStr">
        <is>
          <t>VÄSTRA GÖTALANDS LÄN</t>
        </is>
      </c>
      <c r="G108" t="inlineStr">
        <is>
          <t>STRÖMSTAD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45945</v>
      </c>
      <c r="E109" s="1" t="n">
        <v>46227</v>
      </c>
      <c r="F109" t="inlineStr">
        <is>
          <t>VÄSTRA GÖTALANDS LÄN</t>
        </is>
      </c>
      <c r="G109" t="inlineStr">
        <is>
          <t>STRÖMSTAD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45945</v>
      </c>
      <c r="E110" s="1" t="n">
        <v>46227</v>
      </c>
      <c r="F110" t="inlineStr">
        <is>
          <t>VÄSTRA GÖTALANDS LÄN</t>
        </is>
      </c>
      <c r="G110" t="inlineStr">
        <is>
          <t>STRÖMSTAD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46227</v>
      </c>
      <c r="F111" t="inlineStr">
        <is>
          <t>VÄSTRA GÖTALANDS LÄN</t>
        </is>
      </c>
      <c r="G111" t="inlineStr">
        <is>
          <t>STRÖMSTAD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29329-2024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45483</v>
      </c>
      <c r="E112" s="1" t="n">
        <v>46227</v>
      </c>
      <c r="F112" t="inlineStr">
        <is>
          <t>VÄSTRA GÖTALANDS LÄN</t>
        </is>
      </c>
      <c r="G112" t="inlineStr">
        <is>
          <t>STRÖMSTAD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45750</v>
      </c>
      <c r="E113" s="1" t="n">
        <v>46227</v>
      </c>
      <c r="F113" t="inlineStr">
        <is>
          <t>VÄSTRA GÖTALANDS LÄN</t>
        </is>
      </c>
      <c r="G113" t="inlineStr">
        <is>
          <t>STRÖMSTAD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45678</v>
      </c>
      <c r="E114" s="1" t="n">
        <v>46227</v>
      </c>
      <c r="F114" t="inlineStr">
        <is>
          <t>VÄSTRA GÖTALANDS LÄN</t>
        </is>
      </c>
      <c r="G114" t="inlineStr">
        <is>
          <t>STRÖMSTAD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45057</v>
      </c>
      <c r="E115" s="1" t="n">
        <v>46227</v>
      </c>
      <c r="F115" t="inlineStr">
        <is>
          <t>VÄSTRA GÖTALANDS LÄN</t>
        </is>
      </c>
      <c r="G115" t="inlineStr">
        <is>
          <t>STRÖMSTAD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19134-2025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45764</v>
      </c>
      <c r="E116" s="1" t="n">
        <v>46227</v>
      </c>
      <c r="F116" t="inlineStr">
        <is>
          <t>VÄSTRA GÖTALANDS LÄN</t>
        </is>
      </c>
      <c r="G116" t="inlineStr">
        <is>
          <t>STRÖMSTAD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50401-2021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46227</v>
      </c>
      <c r="F117" t="inlineStr">
        <is>
          <t>VÄSTRA GÖTALANDS LÄN</t>
        </is>
      </c>
      <c r="G117" t="inlineStr">
        <is>
          <t>STRÖMSTAD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45728</v>
      </c>
      <c r="E118" s="1" t="n">
        <v>46227</v>
      </c>
      <c r="F118" t="inlineStr">
        <is>
          <t>VÄSTRA GÖTALANDS LÄN</t>
        </is>
      </c>
      <c r="G118" t="inlineStr">
        <is>
          <t>STRÖMSTAD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22560-2023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45071</v>
      </c>
      <c r="E119" s="1" t="n">
        <v>46227</v>
      </c>
      <c r="F119" t="inlineStr">
        <is>
          <t>VÄSTRA GÖTALANDS LÄN</t>
        </is>
      </c>
      <c r="G119" t="inlineStr">
        <is>
          <t>STRÖMSTAD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46055</v>
      </c>
      <c r="E120" s="1" t="n">
        <v>46227</v>
      </c>
      <c r="F120" t="inlineStr">
        <is>
          <t>VÄSTRA GÖTALANDS LÄN</t>
        </is>
      </c>
      <c r="G120" t="inlineStr">
        <is>
          <t>STRÖMSTAD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44865</v>
      </c>
      <c r="E121" s="1" t="n">
        <v>46227</v>
      </c>
      <c r="F121" t="inlineStr">
        <is>
          <t>VÄSTRA GÖTALANDS LÄN</t>
        </is>
      </c>
      <c r="G121" t="inlineStr">
        <is>
          <t>STRÖMSTAD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46227</v>
      </c>
      <c r="F122" t="inlineStr">
        <is>
          <t>VÄSTRA GÖTALANDS LÄN</t>
        </is>
      </c>
      <c r="G122" t="inlineStr">
        <is>
          <t>STRÖMSTAD</t>
        </is>
      </c>
      <c r="H122" t="inlineStr">
        <is>
          <t>Kommuner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46227</v>
      </c>
      <c r="F123" t="inlineStr">
        <is>
          <t>VÄSTRA GÖTALANDS LÄN</t>
        </is>
      </c>
      <c r="G123" t="inlineStr">
        <is>
          <t>STRÖMSTAD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46063</v>
      </c>
      <c r="E124" s="1" t="n">
        <v>46227</v>
      </c>
      <c r="F124" t="inlineStr">
        <is>
          <t>VÄSTRA GÖTALANDS LÄN</t>
        </is>
      </c>
      <c r="G124" t="inlineStr">
        <is>
          <t>STRÖMSTAD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46227</v>
      </c>
      <c r="F125" t="inlineStr">
        <is>
          <t>VÄSTRA GÖTALANDS LÄN</t>
        </is>
      </c>
      <c r="G125" t="inlineStr">
        <is>
          <t>STRÖMSTAD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46063</v>
      </c>
      <c r="E126" s="1" t="n">
        <v>46227</v>
      </c>
      <c r="F126" t="inlineStr">
        <is>
          <t>VÄSTRA GÖTALANDS LÄN</t>
        </is>
      </c>
      <c r="G126" t="inlineStr">
        <is>
          <t>STRÖMSTAD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45385</v>
      </c>
      <c r="E127" s="1" t="n">
        <v>46227</v>
      </c>
      <c r="F127" t="inlineStr">
        <is>
          <t>VÄSTRA GÖTALANDS LÄN</t>
        </is>
      </c>
      <c r="G127" t="inlineStr">
        <is>
          <t>STRÖMSTAD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45301</v>
      </c>
      <c r="E128" s="1" t="n">
        <v>46227</v>
      </c>
      <c r="F128" t="inlineStr">
        <is>
          <t>VÄSTRA GÖTALANDS LÄN</t>
        </is>
      </c>
      <c r="G128" t="inlineStr">
        <is>
          <t>STRÖMSTAD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45316</v>
      </c>
      <c r="E129" s="1" t="n">
        <v>46227</v>
      </c>
      <c r="F129" t="inlineStr">
        <is>
          <t>VÄSTRA GÖTALANDS LÄN</t>
        </is>
      </c>
      <c r="G129" t="inlineStr">
        <is>
          <t>STRÖMSTAD</t>
        </is>
      </c>
      <c r="H129" t="inlineStr">
        <is>
          <t>Kommuner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46227</v>
      </c>
      <c r="F130" t="inlineStr">
        <is>
          <t>VÄSTRA GÖTALANDS LÄN</t>
        </is>
      </c>
      <c r="G130" t="inlineStr">
        <is>
          <t>STRÖMSTAD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46227</v>
      </c>
      <c r="F131" t="inlineStr">
        <is>
          <t>VÄSTRA GÖTALANDS LÄN</t>
        </is>
      </c>
      <c r="G131" t="inlineStr">
        <is>
          <t>STRÖMSTAD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45548</v>
      </c>
      <c r="E132" s="1" t="n">
        <v>46227</v>
      </c>
      <c r="F132" t="inlineStr">
        <is>
          <t>VÄSTRA GÖTALANDS LÄN</t>
        </is>
      </c>
      <c r="G132" t="inlineStr">
        <is>
          <t>STRÖMSTAD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45002</v>
      </c>
      <c r="E133" s="1" t="n">
        <v>46227</v>
      </c>
      <c r="F133" t="inlineStr">
        <is>
          <t>VÄSTRA GÖTALANDS LÄN</t>
        </is>
      </c>
      <c r="G133" t="inlineStr">
        <is>
          <t>STRÖMSTAD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14440-2026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46227</v>
      </c>
      <c r="F134" t="inlineStr">
        <is>
          <t>VÄSTRA GÖTALANDS LÄN</t>
        </is>
      </c>
      <c r="G134" t="inlineStr">
        <is>
          <t>STRÖMSTAD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14456-2026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46227</v>
      </c>
      <c r="F135" t="inlineStr">
        <is>
          <t>VÄSTRA GÖTALANDS LÄN</t>
        </is>
      </c>
      <c r="G135" t="inlineStr">
        <is>
          <t>STRÖMSTAD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46227</v>
      </c>
      <c r="F136" t="inlineStr">
        <is>
          <t>VÄSTRA GÖTALANDS LÄN</t>
        </is>
      </c>
      <c r="G136" t="inlineStr">
        <is>
          <t>STRÖMSTAD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56130-2022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44886</v>
      </c>
      <c r="E137" s="1" t="n">
        <v>46227</v>
      </c>
      <c r="F137" t="inlineStr">
        <is>
          <t>VÄSTRA GÖTALANDS LÄN</t>
        </is>
      </c>
      <c r="G137" t="inlineStr">
        <is>
          <t>STRÖMSTAD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46227</v>
      </c>
      <c r="F138" t="inlineStr">
        <is>
          <t>VÄSTRA GÖTALANDS LÄN</t>
        </is>
      </c>
      <c r="G138" t="inlineStr">
        <is>
          <t>STRÖMSTAD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45133</v>
      </c>
      <c r="E139" s="1" t="n">
        <v>46227</v>
      </c>
      <c r="F139" t="inlineStr">
        <is>
          <t>VÄSTRA GÖTALANDS LÄN</t>
        </is>
      </c>
      <c r="G139" t="inlineStr">
        <is>
          <t>STRÖMSTAD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45440</v>
      </c>
      <c r="E140" s="1" t="n">
        <v>46227</v>
      </c>
      <c r="F140" t="inlineStr">
        <is>
          <t>VÄSTRA GÖTALANDS LÄN</t>
        </is>
      </c>
      <c r="G140" t="inlineStr">
        <is>
          <t>STRÖMSTAD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14437-2026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46227</v>
      </c>
      <c r="F141" t="inlineStr">
        <is>
          <t>VÄSTRA GÖTALANDS LÄN</t>
        </is>
      </c>
      <c r="G141" t="inlineStr">
        <is>
          <t>STRÖMSTAD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29195-2024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45482</v>
      </c>
      <c r="E142" s="1" t="n">
        <v>46227</v>
      </c>
      <c r="F142" t="inlineStr">
        <is>
          <t>VÄSTRA GÖTALANDS LÄN</t>
        </is>
      </c>
      <c r="G142" t="inlineStr">
        <is>
          <t>STRÖMSTAD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45243</v>
      </c>
      <c r="E143" s="1" t="n">
        <v>46227</v>
      </c>
      <c r="F143" t="inlineStr">
        <is>
          <t>VÄSTRA GÖTALANDS LÄN</t>
        </is>
      </c>
      <c r="G143" t="inlineStr">
        <is>
          <t>STRÖMSTAD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44603</v>
      </c>
      <c r="E144" s="1" t="n">
        <v>46227</v>
      </c>
      <c r="F144" t="inlineStr">
        <is>
          <t>VÄSTRA GÖTALANDS LÄN</t>
        </is>
      </c>
      <c r="G144" t="inlineStr">
        <is>
          <t>STRÖMSTAD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46227</v>
      </c>
      <c r="F145" t="inlineStr">
        <is>
          <t>VÄSTRA GÖTALANDS LÄN</t>
        </is>
      </c>
      <c r="G145" t="inlineStr">
        <is>
          <t>STRÖMSTAD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67875-2021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44525</v>
      </c>
      <c r="E146" s="1" t="n">
        <v>46227</v>
      </c>
      <c r="F146" t="inlineStr">
        <is>
          <t>VÄSTRA GÖTALANDS LÄN</t>
        </is>
      </c>
      <c r="G146" t="inlineStr">
        <is>
          <t>STRÖMSTAD</t>
        </is>
      </c>
      <c r="I146" t="n">
        <v>15.5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45407</v>
      </c>
      <c r="E147" s="1" t="n">
        <v>46227</v>
      </c>
      <c r="F147" t="inlineStr">
        <is>
          <t>VÄSTRA GÖTALANDS LÄN</t>
        </is>
      </c>
      <c r="G147" t="inlineStr">
        <is>
          <t>STRÖMSTAD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46103</v>
      </c>
      <c r="E148" s="1" t="n">
        <v>46227</v>
      </c>
      <c r="F148" t="inlineStr">
        <is>
          <t>VÄSTRA GÖTALANDS LÄN</t>
        </is>
      </c>
      <c r="G148" t="inlineStr">
        <is>
          <t>STRÖMSTAD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46227</v>
      </c>
      <c r="F149" t="inlineStr">
        <is>
          <t>VÄSTRA GÖTALANDS LÄN</t>
        </is>
      </c>
      <c r="G149" t="inlineStr">
        <is>
          <t>STRÖMSTAD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45366</v>
      </c>
      <c r="E150" s="1" t="n">
        <v>46227</v>
      </c>
      <c r="F150" t="inlineStr">
        <is>
          <t>VÄSTRA GÖTALANDS LÄN</t>
        </is>
      </c>
      <c r="G150" t="inlineStr">
        <is>
          <t>STRÖMSTAD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45555</v>
      </c>
      <c r="E151" s="1" t="n">
        <v>46227</v>
      </c>
      <c r="F151" t="inlineStr">
        <is>
          <t>VÄSTRA GÖTALANDS LÄN</t>
        </is>
      </c>
      <c r="G151" t="inlineStr">
        <is>
          <t>STRÖMSTAD</t>
        </is>
      </c>
      <c r="I151" t="n">
        <v>14.5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46227</v>
      </c>
      <c r="F152" t="inlineStr">
        <is>
          <t>VÄSTRA GÖTALANDS LÄN</t>
        </is>
      </c>
      <c r="G152" t="inlineStr">
        <is>
          <t>STRÖMSTAD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46227</v>
      </c>
      <c r="F153" t="inlineStr">
        <is>
          <t>VÄSTRA GÖTALANDS LÄN</t>
        </is>
      </c>
      <c r="G153" t="inlineStr">
        <is>
          <t>STRÖMSTAD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46227</v>
      </c>
      <c r="F154" t="inlineStr">
        <is>
          <t>VÄSTRA GÖTALANDS LÄN</t>
        </is>
      </c>
      <c r="G154" t="inlineStr">
        <is>
          <t>STRÖMSTAD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45217</v>
      </c>
      <c r="E155" s="1" t="n">
        <v>46227</v>
      </c>
      <c r="F155" t="inlineStr">
        <is>
          <t>VÄSTRA GÖTALANDS LÄN</t>
        </is>
      </c>
      <c r="G155" t="inlineStr">
        <is>
          <t>STRÖMSTAD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45547</v>
      </c>
      <c r="E156" s="1" t="n">
        <v>46227</v>
      </c>
      <c r="F156" t="inlineStr">
        <is>
          <t>VÄSTRA GÖTALANDS LÄN</t>
        </is>
      </c>
      <c r="G156" t="inlineStr">
        <is>
          <t>STRÖMSTAD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8047-2024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45351</v>
      </c>
      <c r="E157" s="1" t="n">
        <v>46227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33559-2025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46227</v>
      </c>
      <c r="F158" t="inlineStr">
        <is>
          <t>VÄSTRA GÖTALANDS LÄN</t>
        </is>
      </c>
      <c r="G158" t="inlineStr">
        <is>
          <t>STRÖMSTAD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25884-2023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45085</v>
      </c>
      <c r="E159" s="1" t="n">
        <v>46227</v>
      </c>
      <c r="F159" t="inlineStr">
        <is>
          <t>VÄSTRA GÖTALANDS LÄN</t>
        </is>
      </c>
      <c r="G159" t="inlineStr">
        <is>
          <t>STRÖMSTAD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56196-2025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46227</v>
      </c>
      <c r="F160" t="inlineStr">
        <is>
          <t>VÄSTRA GÖTALANDS LÄN</t>
        </is>
      </c>
      <c r="G160" t="inlineStr">
        <is>
          <t>STRÖMSTAD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46227</v>
      </c>
      <c r="F161" t="inlineStr">
        <is>
          <t>VÄSTRA GÖTALANDS LÄN</t>
        </is>
      </c>
      <c r="G161" t="inlineStr">
        <is>
          <t>STRÖMSTAD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20888-2022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44701</v>
      </c>
      <c r="E162" s="1" t="n">
        <v>46227</v>
      </c>
      <c r="F162" t="inlineStr">
        <is>
          <t>VÄSTRA GÖTALANDS LÄN</t>
        </is>
      </c>
      <c r="G162" t="inlineStr">
        <is>
          <t>STRÖMSTAD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46227</v>
      </c>
      <c r="F163" t="inlineStr">
        <is>
          <t>VÄSTRA GÖTALANDS LÄN</t>
        </is>
      </c>
      <c r="G163" t="inlineStr">
        <is>
          <t>STRÖMSTAD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45876</v>
      </c>
      <c r="E164" s="1" t="n">
        <v>46227</v>
      </c>
      <c r="F164" t="inlineStr">
        <is>
          <t>VÄSTRA GÖTALANDS LÄN</t>
        </is>
      </c>
      <c r="G164" t="inlineStr">
        <is>
          <t>STRÖMSTAD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21355-2026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46142</v>
      </c>
      <c r="E165" s="1" t="n">
        <v>46227</v>
      </c>
      <c r="F165" t="inlineStr">
        <is>
          <t>VÄSTRA GÖTALANDS LÄN</t>
        </is>
      </c>
      <c r="G165" t="inlineStr">
        <is>
          <t>STRÖMSTAD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46227</v>
      </c>
      <c r="F166" t="inlineStr">
        <is>
          <t>VÄSTRA GÖTALANDS LÄN</t>
        </is>
      </c>
      <c r="G166" t="inlineStr">
        <is>
          <t>STRÖMSTAD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46227</v>
      </c>
      <c r="F167" t="inlineStr">
        <is>
          <t>VÄSTRA GÖTALANDS LÄN</t>
        </is>
      </c>
      <c r="G167" t="inlineStr">
        <is>
          <t>STRÖMSTAD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45318</v>
      </c>
      <c r="E168" s="1" t="n">
        <v>46227</v>
      </c>
      <c r="F168" t="inlineStr">
        <is>
          <t>VÄSTRA GÖTALANDS LÄN</t>
        </is>
      </c>
      <c r="G168" t="inlineStr">
        <is>
          <t>STRÖMSTAD</t>
        </is>
      </c>
      <c r="H168" t="inlineStr">
        <is>
          <t>Kommuner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46227</v>
      </c>
      <c r="F169" t="inlineStr">
        <is>
          <t>VÄSTRA GÖTALANDS LÄN</t>
        </is>
      </c>
      <c r="G169" t="inlineStr">
        <is>
          <t>STRÖMSTAD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44704</v>
      </c>
      <c r="E170" s="1" t="n">
        <v>46227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46227</v>
      </c>
      <c r="F171" t="inlineStr">
        <is>
          <t>VÄSTRA GÖTALANDS LÄN</t>
        </is>
      </c>
      <c r="G171" t="inlineStr">
        <is>
          <t>STRÖMSTAD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45232</v>
      </c>
      <c r="E172" s="1" t="n">
        <v>46227</v>
      </c>
      <c r="F172" t="inlineStr">
        <is>
          <t>VÄSTRA GÖTALANDS LÄN</t>
        </is>
      </c>
      <c r="G172" t="inlineStr">
        <is>
          <t>STRÖMSTAD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21839-2026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46150</v>
      </c>
      <c r="E173" s="1" t="n">
        <v>46227</v>
      </c>
      <c r="F173" t="inlineStr">
        <is>
          <t>VÄSTRA GÖTALANDS LÄN</t>
        </is>
      </c>
      <c r="G173" t="inlineStr">
        <is>
          <t>STRÖMSTAD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21755-2026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46149</v>
      </c>
      <c r="E174" s="1" t="n">
        <v>46227</v>
      </c>
      <c r="F174" t="inlineStr">
        <is>
          <t>VÄSTRA GÖTALANDS LÄN</t>
        </is>
      </c>
      <c r="G174" t="inlineStr">
        <is>
          <t>STRÖMSTAD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46150</v>
      </c>
      <c r="E175" s="1" t="n">
        <v>46227</v>
      </c>
      <c r="F175" t="inlineStr">
        <is>
          <t>VÄSTRA GÖTALANDS LÄN</t>
        </is>
      </c>
      <c r="G175" t="inlineStr">
        <is>
          <t>STRÖMSTAD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46150</v>
      </c>
      <c r="E176" s="1" t="n">
        <v>46227</v>
      </c>
      <c r="F176" t="inlineStr">
        <is>
          <t>VÄSTRA GÖTALANDS LÄN</t>
        </is>
      </c>
      <c r="G176" t="inlineStr">
        <is>
          <t>STRÖMSTAD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46227</v>
      </c>
      <c r="F177" t="inlineStr">
        <is>
          <t>VÄSTRA GÖTALANDS LÄN</t>
        </is>
      </c>
      <c r="G177" t="inlineStr">
        <is>
          <t>STRÖMSTAD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46196</v>
      </c>
      <c r="E178" s="1" t="n">
        <v>46227</v>
      </c>
      <c r="F178" t="inlineStr">
        <is>
          <t>VÄSTRA GÖTALANDS LÄN</t>
        </is>
      </c>
      <c r="G178" t="inlineStr">
        <is>
          <t>STRÖMSTAD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45301</v>
      </c>
      <c r="E179" s="1" t="n">
        <v>46227</v>
      </c>
      <c r="F179" t="inlineStr">
        <is>
          <t>VÄSTRA GÖTALANDS LÄN</t>
        </is>
      </c>
      <c r="G179" t="inlineStr">
        <is>
          <t>STRÖMSTAD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22320-2026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46154</v>
      </c>
      <c r="E180" s="1" t="n">
        <v>46227</v>
      </c>
      <c r="F180" t="inlineStr">
        <is>
          <t>VÄSTRA GÖTALANDS LÄN</t>
        </is>
      </c>
      <c r="G180" t="inlineStr">
        <is>
          <t>STRÖMSTAD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46156</v>
      </c>
      <c r="E181" s="1" t="n">
        <v>46227</v>
      </c>
      <c r="F181" t="inlineStr">
        <is>
          <t>VÄSTRA GÖTALANDS LÄN</t>
        </is>
      </c>
      <c r="G181" t="inlineStr">
        <is>
          <t>STRÖMSTAD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45482</v>
      </c>
      <c r="E182" s="1" t="n">
        <v>46227</v>
      </c>
      <c r="F182" t="inlineStr">
        <is>
          <t>VÄSTRA GÖTALANDS LÄN</t>
        </is>
      </c>
      <c r="G182" t="inlineStr">
        <is>
          <t>STRÖMSTAD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57768-2022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44892</v>
      </c>
      <c r="E183" s="1" t="n">
        <v>46227</v>
      </c>
      <c r="F183" t="inlineStr">
        <is>
          <t>VÄSTRA GÖTALANDS LÄN</t>
        </is>
      </c>
      <c r="G183" t="inlineStr">
        <is>
          <t>STRÖMSTAD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46204</v>
      </c>
      <c r="E184" s="1" t="n">
        <v>46227</v>
      </c>
      <c r="F184" t="inlineStr">
        <is>
          <t>VÄSTRA GÖTALANDS LÄN</t>
        </is>
      </c>
      <c r="G184" t="inlineStr">
        <is>
          <t>STRÖMSTAD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46161</v>
      </c>
      <c r="E185" s="1" t="n">
        <v>46227</v>
      </c>
      <c r="F185" t="inlineStr">
        <is>
          <t>VÄSTRA GÖTALANDS LÄN</t>
        </is>
      </c>
      <c r="G185" t="inlineStr">
        <is>
          <t>STRÖMSTAD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15559-2023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45019</v>
      </c>
      <c r="E186" s="1" t="n">
        <v>46227</v>
      </c>
      <c r="F186" t="inlineStr">
        <is>
          <t>VÄSTRA GÖTALANDS LÄN</t>
        </is>
      </c>
      <c r="G186" t="inlineStr">
        <is>
          <t>STRÖMSTAD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46227</v>
      </c>
      <c r="F187" t="inlineStr">
        <is>
          <t>VÄSTRA GÖTALANDS LÄN</t>
        </is>
      </c>
      <c r="G187" t="inlineStr">
        <is>
          <t>STRÖMSTAD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44621</v>
      </c>
      <c r="E188" s="1" t="n">
        <v>46227</v>
      </c>
      <c r="F188" t="inlineStr">
        <is>
          <t>VÄSTRA GÖTALANDS LÄN</t>
        </is>
      </c>
      <c r="G188" t="inlineStr">
        <is>
          <t>STRÖMSTAD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45061</v>
      </c>
      <c r="E189" s="1" t="n">
        <v>46227</v>
      </c>
      <c r="F189" t="inlineStr">
        <is>
          <t>VÄSTRA GÖTALANDS LÄN</t>
        </is>
      </c>
      <c r="G189" t="inlineStr">
        <is>
          <t>STRÖMSTAD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44903</v>
      </c>
      <c r="E190" s="1" t="n">
        <v>46227</v>
      </c>
      <c r="F190" t="inlineStr">
        <is>
          <t>VÄSTRA GÖTALANDS LÄN</t>
        </is>
      </c>
      <c r="G190" t="inlineStr">
        <is>
          <t>STRÖMSTAD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46227</v>
      </c>
      <c r="F191" t="inlineStr">
        <is>
          <t>VÄSTRA GÖTALANDS LÄN</t>
        </is>
      </c>
      <c r="G191" t="inlineStr">
        <is>
          <t>STRÖMSTAD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46182</v>
      </c>
      <c r="E192" s="1" t="n">
        <v>46227</v>
      </c>
      <c r="F192" t="inlineStr">
        <is>
          <t>VÄSTRA GÖTALANDS LÄN</t>
        </is>
      </c>
      <c r="G192" t="inlineStr">
        <is>
          <t>STRÖMSTAD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61252-2024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46227</v>
      </c>
      <c r="F193" t="inlineStr">
        <is>
          <t>VÄSTRA GÖTALANDS LÄN</t>
        </is>
      </c>
      <c r="G193" t="inlineStr">
        <is>
          <t>STRÖMSTAD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56024-2023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46227</v>
      </c>
      <c r="F194" t="inlineStr">
        <is>
          <t>VÄSTRA GÖTALANDS LÄN</t>
        </is>
      </c>
      <c r="G194" t="inlineStr">
        <is>
          <t>STRÖMSTAD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45331</v>
      </c>
      <c r="E195" s="1" t="n">
        <v>46227</v>
      </c>
      <c r="F195" t="inlineStr">
        <is>
          <t>VÄSTRA GÖTALANDS LÄN</t>
        </is>
      </c>
      <c r="G195" t="inlineStr">
        <is>
          <t>STRÖMSTAD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46227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44883-2021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44438</v>
      </c>
      <c r="E197" s="1" t="n">
        <v>46227</v>
      </c>
      <c r="F197" t="inlineStr">
        <is>
          <t>VÄSTRA GÖTALANDS LÄN</t>
        </is>
      </c>
      <c r="G197" t="inlineStr">
        <is>
          <t>STRÖMSTAD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44907</v>
      </c>
      <c r="E198" s="1" t="n">
        <v>46227</v>
      </c>
      <c r="F198" t="inlineStr">
        <is>
          <t>VÄSTRA GÖTALANDS LÄN</t>
        </is>
      </c>
      <c r="G198" t="inlineStr">
        <is>
          <t>STRÖMSTAD</t>
        </is>
      </c>
      <c r="I198" t="n">
        <v>10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52950-2022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44875</v>
      </c>
      <c r="E199" s="1" t="n">
        <v>46227</v>
      </c>
      <c r="F199" t="inlineStr">
        <is>
          <t>VÄSTRA GÖTALANDS LÄN</t>
        </is>
      </c>
      <c r="G199" t="inlineStr">
        <is>
          <t>STRÖMSTAD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46227</v>
      </c>
      <c r="F200" t="inlineStr">
        <is>
          <t>VÄSTRA GÖTALANDS LÄN</t>
        </is>
      </c>
      <c r="G200" t="inlineStr">
        <is>
          <t>STRÖMSTAD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45748</v>
      </c>
      <c r="E201" s="1" t="n">
        <v>46227</v>
      </c>
      <c r="F201" t="inlineStr">
        <is>
          <t>VÄSTRA GÖTALANDS LÄN</t>
        </is>
      </c>
      <c r="G201" t="inlineStr">
        <is>
          <t>STRÖMSTAD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46227</v>
      </c>
      <c r="F202" t="inlineStr">
        <is>
          <t>VÄSTRA GÖTALANDS LÄN</t>
        </is>
      </c>
      <c r="G202" t="inlineStr">
        <is>
          <t>STRÖMSTAD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45316</v>
      </c>
      <c r="E203" s="1" t="n">
        <v>46227</v>
      </c>
      <c r="F203" t="inlineStr">
        <is>
          <t>VÄSTRA GÖTALANDS LÄN</t>
        </is>
      </c>
      <c r="G203" t="inlineStr">
        <is>
          <t>STRÖMSTAD</t>
        </is>
      </c>
      <c r="H203" t="inlineStr">
        <is>
          <t>Kommuner</t>
        </is>
      </c>
      <c r="I203" t="n">
        <v>8.6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45645</v>
      </c>
      <c r="E204" s="1" t="n">
        <v>46227</v>
      </c>
      <c r="F204" t="inlineStr">
        <is>
          <t>VÄSTRA GÖTALANDS LÄN</t>
        </is>
      </c>
      <c r="G204" t="inlineStr">
        <is>
          <t>STRÖMSTAD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45548</v>
      </c>
      <c r="E205" s="1" t="n">
        <v>46227</v>
      </c>
      <c r="F205" t="inlineStr">
        <is>
          <t>VÄSTRA GÖTALANDS LÄN</t>
        </is>
      </c>
      <c r="G205" t="inlineStr">
        <is>
          <t>STRÖMSTAD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45579</v>
      </c>
      <c r="E206" s="1" t="n">
        <v>46227</v>
      </c>
      <c r="F206" t="inlineStr">
        <is>
          <t>VÄSTRA GÖTALANDS LÄN</t>
        </is>
      </c>
      <c r="G206" t="inlineStr">
        <is>
          <t>STRÖMSTAD</t>
        </is>
      </c>
      <c r="H206" t="inlineStr">
        <is>
          <t>Kyrkan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50603-2024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46227</v>
      </c>
      <c r="F207" t="inlineStr">
        <is>
          <t>VÄSTRA GÖTALANDS LÄN</t>
        </is>
      </c>
      <c r="G207" t="inlineStr">
        <is>
          <t>STRÖMSTAD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46227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46227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46227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2026-07-24T01:46:21Z</dcterms:created>
  <dcterms:modified xmlns:dcterms="http://purl.org/dc/terms/" xmlns:xsi="http://www.w3.org/2001/XMLSchema-instance" xsi:type="dcterms:W3CDTF">2026-07-24T01:46:22Z</dcterms:modified>
</cp:coreProperties>
</file>