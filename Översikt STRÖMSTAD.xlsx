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46284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46284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46284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6043-2024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46284</v>
      </c>
      <c r="F8" t="inlineStr">
        <is>
          <t>VÄSTRA GÖTALANDS LÄN</t>
        </is>
      </c>
      <c r="G8" t="inlineStr">
        <is>
          <t>STRÖMSTAD</t>
        </is>
      </c>
      <c r="I8" t="n">
        <v>0.7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7</v>
      </c>
      <c r="V8" s="2" t="inlineStr">
        <is>
          <t>Knärot
Grönpyrola
Revlummer</t>
        </is>
      </c>
      <c r="W8">
        <f>HYPERLINK("https://klasma.github.io/Logging_1486/artfynd/A 6043-2024 artfynd.xlsx", "A 6043-2024")</f>
        <v/>
      </c>
      <c r="X8">
        <f>HYPERLINK("https://klasma.github.io/Logging_1486/kartor/A 6043-2024 karta.png", "A 6043-2024")</f>
        <v/>
      </c>
      <c r="Y8">
        <f>HYPERLINK("https://klasma.github.io/Logging_1486/kartor_geotiff/A 6043-2024 georefererad karta.tif", "A 6043-2024")</f>
        <v/>
      </c>
      <c r="Z8">
        <f>HYPERLINK("https://klasma.github.io/Logging_1486/knärot/A 6043-2024 karta knärot.png", "A 6043-2024")</f>
        <v/>
      </c>
      <c r="AA8">
        <f>HYPERLINK("https://klasma.github.io/Logging_1486/klagomål/A 6043-2024 FSC-klagomål.docx", "A 6043-2024")</f>
        <v/>
      </c>
      <c r="AB8">
        <f>HYPERLINK("https://klasma.github.io/Logging_1486/klagomålsmail/A 6043-2024 FSC-klagomål mail.docx", "A 6043-2024")</f>
        <v/>
      </c>
      <c r="AC8">
        <f>HYPERLINK("https://klasma.github.io/Logging_1486/tillsyn/A 6043-2024 tillsynsbegäran.docx", "A 6043-2024")</f>
        <v/>
      </c>
      <c r="AD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46284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46284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46284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46284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46284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46284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46284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46284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46284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46284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64707-2023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45281</v>
      </c>
      <c r="E19" s="1" t="n">
        <v>46284</v>
      </c>
      <c r="F19" t="inlineStr">
        <is>
          <t>VÄSTRA GÖTALANDS LÄN</t>
        </is>
      </c>
      <c r="G19" t="inlineStr">
        <is>
          <t>STRÖMSTAD</t>
        </is>
      </c>
      <c r="H19" t="inlineStr">
        <is>
          <t>Kommuner</t>
        </is>
      </c>
      <c r="I19" t="n">
        <v>11.9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HYPERLINK("https://klasma.github.io/Logging_1486/artfynd/A 64707-2023 artfynd.xlsx", "A 64707-2023")</f>
        <v/>
      </c>
      <c r="X19">
        <f>HYPERLINK("https://klasma.github.io/Logging_1486/kartor/A 64707-2023 karta.png", "A 64707-2023")</f>
        <v/>
      </c>
      <c r="Y19">
        <f>HYPERLINK("https://klasma.github.io/Logging_1486/kartor_geotiff/A 64707-2023 georefererad karta.tif", "A 64707-2023")</f>
        <v/>
      </c>
      <c r="Z19">
        <f>HYPERLINK("https://klasma.github.io/Logging_1486/knärot/A 64707-2023 karta knärot.png", "A 64707-2023")</f>
        <v/>
      </c>
      <c r="AA19">
        <f>HYPERLINK("https://klasma.github.io/Logging_1486/klagomål/A 64707-2023 FSC-klagomål.docx", "A 64707-2023")</f>
        <v/>
      </c>
      <c r="AB19">
        <f>HYPERLINK("https://klasma.github.io/Logging_1486/klagomålsmail/A 64707-2023 FSC-klagomål mail.docx", "A 64707-2023")</f>
        <v/>
      </c>
      <c r="AC19">
        <f>HYPERLINK("https://klasma.github.io/Logging_1486/tillsyn/A 64707-2023 tillsynsbegäran.docx", "A 64707-2023")</f>
        <v/>
      </c>
      <c r="AD19">
        <f>HYPERLINK("https://klasma.github.io/Logging_1486/tillsynsmail/A 64707-2023 tillsynsbegäran mail.docx", "A 64707-2023")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46284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46284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46284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24514-2024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45458</v>
      </c>
      <c r="E23" s="1" t="n">
        <v>46284</v>
      </c>
      <c r="F23" t="inlineStr">
        <is>
          <t>VÄSTRA GÖTALANDS LÄN</t>
        </is>
      </c>
      <c r="G23" t="inlineStr">
        <is>
          <t>STRÖMSTAD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HYPERLINK("https://klasma.github.io/Logging_1486/artfynd/A 24514-2024 artfynd.xlsx", "A 24514-2024")</f>
        <v/>
      </c>
      <c r="X23">
        <f>HYPERLINK("https://klasma.github.io/Logging_1486/kartor/A 24514-2024 karta.png", "A 24514-2024")</f>
        <v/>
      </c>
      <c r="Y23">
        <f>HYPERLINK("https://klasma.github.io/Logging_1486/kartor_geotiff/A 24514-2024 georefererad karta.tif", "A 24514-2024")</f>
        <v/>
      </c>
      <c r="AA23">
        <f>HYPERLINK("https://klasma.github.io/Logging_1486/klagomål/A 24514-2024 FSC-klagomål.docx", "A 24514-2024")</f>
        <v/>
      </c>
      <c r="AB23">
        <f>HYPERLINK("https://klasma.github.io/Logging_1486/klagomålsmail/A 24514-2024 FSC-klagomål mail.docx", "A 24514-2024")</f>
        <v/>
      </c>
      <c r="AC23">
        <f>HYPERLINK("https://klasma.github.io/Logging_1486/tillsyn/A 24514-2024 tillsynsbegäran.docx", "A 24514-2024")</f>
        <v/>
      </c>
      <c r="AD23">
        <f>HYPERLINK("https://klasma.github.io/Logging_1486/tillsynsmail/A 24514-2024 tillsynsbegäran mail.docx", "A 24514-2024")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46284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46284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46284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46284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46284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46284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46284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46284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46284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46284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46284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46284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46284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46284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46284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46284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46284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46284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46284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46284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46284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46284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46284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46284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46284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46284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46284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46284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46284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46284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46284</v>
      </c>
      <c r="F54" t="inlineStr">
        <is>
          <t>VÄSTRA GÖTALANDS LÄN</t>
        </is>
      </c>
      <c r="G54" t="inlineStr">
        <is>
          <t>STRÖMSTAD</t>
        </is>
      </c>
      <c r="H54" t="inlineStr">
        <is>
          <t>Kommuner</t>
        </is>
      </c>
      <c r="I54" t="n">
        <v>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45385</v>
      </c>
      <c r="E55" s="1" t="n">
        <v>46284</v>
      </c>
      <c r="F55" t="inlineStr">
        <is>
          <t>VÄSTRA GÖTALANDS LÄN</t>
        </is>
      </c>
      <c r="G55" t="inlineStr">
        <is>
          <t>STRÖMSTAD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46284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46284</v>
      </c>
      <c r="F57" t="inlineStr">
        <is>
          <t>VÄSTRA GÖTALANDS LÄN</t>
        </is>
      </c>
      <c r="G57" t="inlineStr">
        <is>
          <t>STRÖMSTAD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46284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44885</v>
      </c>
      <c r="E59" s="1" t="n">
        <v>46284</v>
      </c>
      <c r="F59" t="inlineStr">
        <is>
          <t>VÄSTRA GÖTALANDS LÄN</t>
        </is>
      </c>
      <c r="G59" t="inlineStr">
        <is>
          <t>STRÖMSTAD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46284</v>
      </c>
      <c r="F60" t="inlineStr">
        <is>
          <t>VÄSTRA GÖTALANDS LÄN</t>
        </is>
      </c>
      <c r="G60" t="inlineStr">
        <is>
          <t>STRÖMSTAD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46284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46284</v>
      </c>
      <c r="F62" t="inlineStr">
        <is>
          <t>VÄSTRA GÖTALANDS LÄN</t>
        </is>
      </c>
      <c r="G62" t="inlineStr">
        <is>
          <t>STRÖMSTAD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46284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46284</v>
      </c>
      <c r="F64" t="inlineStr">
        <is>
          <t>VÄSTRA GÖTALANDS LÄN</t>
        </is>
      </c>
      <c r="G64" t="inlineStr">
        <is>
          <t>STRÖMSTAD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46284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46284</v>
      </c>
      <c r="F66" t="inlineStr">
        <is>
          <t>VÄSTRA GÖTALANDS LÄN</t>
        </is>
      </c>
      <c r="G66" t="inlineStr">
        <is>
          <t>STRÖMSTAD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46284</v>
      </c>
      <c r="F67" t="inlineStr">
        <is>
          <t>VÄSTRA GÖTALANDS LÄN</t>
        </is>
      </c>
      <c r="G67" t="inlineStr">
        <is>
          <t>STRÖMSTAD</t>
        </is>
      </c>
      <c r="I67" t="n">
        <v>14.5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46284</v>
      </c>
      <c r="F68" t="inlineStr">
        <is>
          <t>VÄSTRA GÖTALANDS LÄN</t>
        </is>
      </c>
      <c r="G68" t="inlineStr">
        <is>
          <t>STRÖMSTAD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46284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46284</v>
      </c>
      <c r="F70" t="inlineStr">
        <is>
          <t>VÄSTRA GÖTALANDS LÄN</t>
        </is>
      </c>
      <c r="G70" t="inlineStr">
        <is>
          <t>STRÖMSTAD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45085</v>
      </c>
      <c r="E71" s="1" t="n">
        <v>46284</v>
      </c>
      <c r="F71" t="inlineStr">
        <is>
          <t>VÄSTRA GÖTALANDS LÄN</t>
        </is>
      </c>
      <c r="G71" t="inlineStr">
        <is>
          <t>STRÖMSTAD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45600</v>
      </c>
      <c r="E72" s="1" t="n">
        <v>46284</v>
      </c>
      <c r="F72" t="inlineStr">
        <is>
          <t>VÄSTRA GÖTALANDS LÄN</t>
        </is>
      </c>
      <c r="G72" t="inlineStr">
        <is>
          <t>STRÖMSTAD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45057</v>
      </c>
      <c r="E73" s="1" t="n">
        <v>46284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44459</v>
      </c>
      <c r="E74" s="1" t="n">
        <v>46284</v>
      </c>
      <c r="F74" t="inlineStr">
        <is>
          <t>VÄSTRA GÖTALANDS LÄN</t>
        </is>
      </c>
      <c r="G74" t="inlineStr">
        <is>
          <t>STRÖMSTAD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46284</v>
      </c>
      <c r="F75" t="inlineStr">
        <is>
          <t>VÄSTRA GÖTALANDS LÄN</t>
        </is>
      </c>
      <c r="G75" t="inlineStr">
        <is>
          <t>STRÖMSTAD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45240</v>
      </c>
      <c r="E76" s="1" t="n">
        <v>46284</v>
      </c>
      <c r="F76" t="inlineStr">
        <is>
          <t>VÄSTRA GÖTALANDS LÄN</t>
        </is>
      </c>
      <c r="G76" t="inlineStr">
        <is>
          <t>STRÖMSTAD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46284</v>
      </c>
      <c r="F77" t="inlineStr">
        <is>
          <t>VÄSTRA GÖTALANDS LÄN</t>
        </is>
      </c>
      <c r="G77" t="inlineStr">
        <is>
          <t>STRÖMSTAD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45316</v>
      </c>
      <c r="E78" s="1" t="n">
        <v>46284</v>
      </c>
      <c r="F78" t="inlineStr">
        <is>
          <t>VÄSTRA GÖTALANDS LÄN</t>
        </is>
      </c>
      <c r="G78" t="inlineStr">
        <is>
          <t>STRÖMSTAD</t>
        </is>
      </c>
      <c r="H78" t="inlineStr">
        <is>
          <t>Kommuner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46284</v>
      </c>
      <c r="F79" t="inlineStr">
        <is>
          <t>VÄSTRA GÖTALANDS LÄN</t>
        </is>
      </c>
      <c r="G79" t="inlineStr">
        <is>
          <t>STRÖMSTAD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46284</v>
      </c>
      <c r="F80" t="inlineStr">
        <is>
          <t>VÄSTRA GÖTALANDS LÄN</t>
        </is>
      </c>
      <c r="G80" t="inlineStr">
        <is>
          <t>STRÖMSTAD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46284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46284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45133</v>
      </c>
      <c r="E83" s="1" t="n">
        <v>46284</v>
      </c>
      <c r="F83" t="inlineStr">
        <is>
          <t>VÄSTRA GÖTALANDS LÄN</t>
        </is>
      </c>
      <c r="G83" t="inlineStr">
        <is>
          <t>STRÖMSTAD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46284</v>
      </c>
      <c r="F84" t="inlineStr">
        <is>
          <t>VÄSTRA GÖTALANDS LÄN</t>
        </is>
      </c>
      <c r="G84" t="inlineStr">
        <is>
          <t>STRÖMSTAD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45331</v>
      </c>
      <c r="E85" s="1" t="n">
        <v>46284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45678</v>
      </c>
      <c r="E86" s="1" t="n">
        <v>46284</v>
      </c>
      <c r="F86" t="inlineStr">
        <is>
          <t>VÄSTRA GÖTALANDS LÄN</t>
        </is>
      </c>
      <c r="G86" t="inlineStr">
        <is>
          <t>STRÖMSTAD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46284</v>
      </c>
      <c r="F87" t="inlineStr">
        <is>
          <t>VÄSTRA GÖTALANDS LÄN</t>
        </is>
      </c>
      <c r="G87" t="inlineStr">
        <is>
          <t>STRÖMSTAD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46284</v>
      </c>
      <c r="F88" t="inlineStr">
        <is>
          <t>VÄSTRA GÖTALANDS LÄN</t>
        </is>
      </c>
      <c r="G88" t="inlineStr">
        <is>
          <t>STRÖMSTAD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45876</v>
      </c>
      <c r="E89" s="1" t="n">
        <v>46284</v>
      </c>
      <c r="F89" t="inlineStr">
        <is>
          <t>VÄSTRA GÖTALANDS LÄN</t>
        </is>
      </c>
      <c r="G89" t="inlineStr">
        <is>
          <t>STRÖMSTAD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44701</v>
      </c>
      <c r="E90" s="1" t="n">
        <v>46284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46284</v>
      </c>
      <c r="F91" t="inlineStr">
        <is>
          <t>VÄSTRA GÖTALANDS LÄN</t>
        </is>
      </c>
      <c r="G91" t="inlineStr">
        <is>
          <t>STRÖMSTAD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46284</v>
      </c>
      <c r="F92" t="inlineStr">
        <is>
          <t>VÄSTRA GÖTALANDS LÄN</t>
        </is>
      </c>
      <c r="G92" t="inlineStr">
        <is>
          <t>STRÖMSTAD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45579</v>
      </c>
      <c r="E93" s="1" t="n">
        <v>46284</v>
      </c>
      <c r="F93" t="inlineStr">
        <is>
          <t>VÄSTRA GÖTALANDS LÄN</t>
        </is>
      </c>
      <c r="G93" t="inlineStr">
        <is>
          <t>STRÖMSTAD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46142</v>
      </c>
      <c r="E94" s="1" t="n">
        <v>46284</v>
      </c>
      <c r="F94" t="inlineStr">
        <is>
          <t>VÄSTRA GÖTALANDS LÄN</t>
        </is>
      </c>
      <c r="G94" t="inlineStr">
        <is>
          <t>STRÖMSTAD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46284</v>
      </c>
      <c r="F95" t="inlineStr">
        <is>
          <t>VÄSTRA GÖTALANDS LÄN</t>
        </is>
      </c>
      <c r="G95" t="inlineStr">
        <is>
          <t>STRÖMSTAD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45126</v>
      </c>
      <c r="E96" s="1" t="n">
        <v>46284</v>
      </c>
      <c r="F96" t="inlineStr">
        <is>
          <t>VÄSTRA GÖTALANDS LÄN</t>
        </is>
      </c>
      <c r="G96" t="inlineStr">
        <is>
          <t>STRÖMSTAD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44774</v>
      </c>
      <c r="E97" s="1" t="n">
        <v>46284</v>
      </c>
      <c r="F97" t="inlineStr">
        <is>
          <t>VÄSTRA GÖTALANDS LÄN</t>
        </is>
      </c>
      <c r="G97" t="inlineStr">
        <is>
          <t>STRÖMSTAD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45482</v>
      </c>
      <c r="E98" s="1" t="n">
        <v>46284</v>
      </c>
      <c r="F98" t="inlineStr">
        <is>
          <t>VÄSTRA GÖTALANDS LÄN</t>
        </is>
      </c>
      <c r="G98" t="inlineStr">
        <is>
          <t>STRÖMSTAD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46284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Övriga Aktiebolag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46284</v>
      </c>
      <c r="F100" t="inlineStr">
        <is>
          <t>VÄSTRA GÖTALANDS LÄN</t>
        </is>
      </c>
      <c r="G100" t="inlineStr">
        <is>
          <t>STRÖMSTAD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46284</v>
      </c>
      <c r="F101" t="inlineStr">
        <is>
          <t>VÄSTRA GÖTALANDS LÄN</t>
        </is>
      </c>
      <c r="G101" t="inlineStr">
        <is>
          <t>STRÖMSTAD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46284</v>
      </c>
      <c r="F102" t="inlineStr">
        <is>
          <t>VÄSTRA GÖTALANDS LÄN</t>
        </is>
      </c>
      <c r="G102" t="inlineStr">
        <is>
          <t>STRÖMSTAD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46284</v>
      </c>
      <c r="F103" t="inlineStr">
        <is>
          <t>VÄSTRA GÖTALANDS LÄN</t>
        </is>
      </c>
      <c r="G103" t="inlineStr">
        <is>
          <t>STRÖMSTAD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46284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46284</v>
      </c>
      <c r="F105" t="inlineStr">
        <is>
          <t>VÄSTRA GÖTALANDS LÄN</t>
        </is>
      </c>
      <c r="G105" t="inlineStr">
        <is>
          <t>STRÖMSTAD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21828-2026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46284</v>
      </c>
      <c r="F106" t="inlineStr">
        <is>
          <t>VÄSTRA GÖTALANDS LÄN</t>
        </is>
      </c>
      <c r="G106" t="inlineStr">
        <is>
          <t>STRÖMSTAD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46284</v>
      </c>
      <c r="F107" t="inlineStr">
        <is>
          <t>VÄSTRA GÖTALANDS LÄN</t>
        </is>
      </c>
      <c r="G107" t="inlineStr">
        <is>
          <t>STRÖMSTAD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46284</v>
      </c>
      <c r="F108" t="inlineStr">
        <is>
          <t>VÄSTRA GÖTALANDS LÄN</t>
        </is>
      </c>
      <c r="G108" t="inlineStr">
        <is>
          <t>STRÖMSTAD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46284</v>
      </c>
      <c r="F109" t="inlineStr">
        <is>
          <t>VÄSTRA GÖTALANDS LÄN</t>
        </is>
      </c>
      <c r="G109" t="inlineStr">
        <is>
          <t>STRÖMSTAD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44987</v>
      </c>
      <c r="E110" s="1" t="n">
        <v>46284</v>
      </c>
      <c r="F110" t="inlineStr">
        <is>
          <t>VÄSTRA GÖTALANDS LÄN</t>
        </is>
      </c>
      <c r="G110" t="inlineStr">
        <is>
          <t>STRÖMSTAD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46284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45972</v>
      </c>
      <c r="E112" s="1" t="n">
        <v>46284</v>
      </c>
      <c r="F112" t="inlineStr">
        <is>
          <t>VÄSTRA GÖTALANDS LÄN</t>
        </is>
      </c>
      <c r="G112" t="inlineStr">
        <is>
          <t>STRÖMSTAD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44892</v>
      </c>
      <c r="E113" s="1" t="n">
        <v>46284</v>
      </c>
      <c r="F113" t="inlineStr">
        <is>
          <t>VÄSTRA GÖTALANDS LÄN</t>
        </is>
      </c>
      <c r="G113" t="inlineStr">
        <is>
          <t>STRÖMSTAD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46284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22321-2026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46284</v>
      </c>
      <c r="F115" t="inlineStr">
        <is>
          <t>VÄSTRA GÖTALANDS LÄN</t>
        </is>
      </c>
      <c r="G115" t="inlineStr">
        <is>
          <t>STRÖMSTAD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46284</v>
      </c>
      <c r="F116" t="inlineStr">
        <is>
          <t>VÄSTRA GÖTALANDS LÄN</t>
        </is>
      </c>
      <c r="G116" t="inlineStr">
        <is>
          <t>STRÖMSTAD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45407</v>
      </c>
      <c r="E117" s="1" t="n">
        <v>46284</v>
      </c>
      <c r="F117" t="inlineStr">
        <is>
          <t>VÄSTRA GÖTALANDS LÄN</t>
        </is>
      </c>
      <c r="G117" t="inlineStr">
        <is>
          <t>STRÖMSTAD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46284</v>
      </c>
      <c r="F118" t="inlineStr">
        <is>
          <t>VÄSTRA GÖTALANDS LÄN</t>
        </is>
      </c>
      <c r="G118" t="inlineStr">
        <is>
          <t>STRÖMSTAD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46284</v>
      </c>
      <c r="F119" t="inlineStr">
        <is>
          <t>VÄSTRA GÖTALANDS LÄN</t>
        </is>
      </c>
      <c r="G119" t="inlineStr">
        <is>
          <t>STRÖMSTAD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19134-2025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45764</v>
      </c>
      <c r="E120" s="1" t="n">
        <v>46284</v>
      </c>
      <c r="F120" t="inlineStr">
        <is>
          <t>VÄSTRA GÖTALANDS LÄN</t>
        </is>
      </c>
      <c r="G120" t="inlineStr">
        <is>
          <t>STRÖMSTAD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45126</v>
      </c>
      <c r="E121" s="1" t="n">
        <v>46284</v>
      </c>
      <c r="F121" t="inlineStr">
        <is>
          <t>VÄSTRA GÖTALANDS LÄN</t>
        </is>
      </c>
      <c r="G121" t="inlineStr">
        <is>
          <t>STRÖMSTAD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46284</v>
      </c>
      <c r="F122" t="inlineStr">
        <is>
          <t>VÄSTRA GÖTALANDS LÄN</t>
        </is>
      </c>
      <c r="G122" t="inlineStr">
        <is>
          <t>STRÖMSTAD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46284</v>
      </c>
      <c r="F123" t="inlineStr">
        <is>
          <t>VÄSTRA GÖTALANDS LÄN</t>
        </is>
      </c>
      <c r="G123" t="inlineStr">
        <is>
          <t>STRÖMSTAD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11891-2025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46284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45019</v>
      </c>
      <c r="E125" s="1" t="n">
        <v>46284</v>
      </c>
      <c r="F125" t="inlineStr">
        <is>
          <t>VÄSTRA GÖTALANDS LÄN</t>
        </is>
      </c>
      <c r="G125" t="inlineStr">
        <is>
          <t>STRÖMSTAD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46284</v>
      </c>
      <c r="F126" t="inlineStr">
        <is>
          <t>VÄSTRA GÖTALANDS LÄN</t>
        </is>
      </c>
      <c r="G126" t="inlineStr">
        <is>
          <t>STRÖMSTAD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46284</v>
      </c>
      <c r="F127" t="inlineStr">
        <is>
          <t>VÄSTRA GÖTALANDS LÄN</t>
        </is>
      </c>
      <c r="G127" t="inlineStr">
        <is>
          <t>STRÖMSTAD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46284</v>
      </c>
      <c r="F128" t="inlineStr">
        <is>
          <t>VÄSTRA GÖTALANDS LÄN</t>
        </is>
      </c>
      <c r="G128" t="inlineStr">
        <is>
          <t>STRÖMSTAD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46284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45819</v>
      </c>
      <c r="E130" s="1" t="n">
        <v>46284</v>
      </c>
      <c r="F130" t="inlineStr">
        <is>
          <t>VÄSTRA GÖTALANDS LÄN</t>
        </is>
      </c>
      <c r="G130" t="inlineStr">
        <is>
          <t>STRÖMSTAD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45189</v>
      </c>
      <c r="E131" s="1" t="n">
        <v>46284</v>
      </c>
      <c r="F131" t="inlineStr">
        <is>
          <t>VÄSTRA GÖTALANDS LÄN</t>
        </is>
      </c>
      <c r="G131" t="inlineStr">
        <is>
          <t>STRÖMSTAD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46284</v>
      </c>
      <c r="F132" t="inlineStr">
        <is>
          <t>VÄSTRA GÖTALANDS LÄN</t>
        </is>
      </c>
      <c r="G132" t="inlineStr">
        <is>
          <t>STRÖMSTAD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46284</v>
      </c>
      <c r="F133" t="inlineStr">
        <is>
          <t>VÄSTRA GÖTALANDS LÄN</t>
        </is>
      </c>
      <c r="G133" t="inlineStr">
        <is>
          <t>STRÖMSTAD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46284</v>
      </c>
      <c r="F134" t="inlineStr">
        <is>
          <t>VÄSTRA GÖTALANDS LÄN</t>
        </is>
      </c>
      <c r="G134" t="inlineStr">
        <is>
          <t>STRÖMSTAD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46284</v>
      </c>
      <c r="F135" t="inlineStr">
        <is>
          <t>VÄSTRA GÖTALANDS LÄN</t>
        </is>
      </c>
      <c r="G135" t="inlineStr">
        <is>
          <t>STRÖMSTAD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46284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8047-2024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45351</v>
      </c>
      <c r="E137" s="1" t="n">
        <v>46284</v>
      </c>
      <c r="F137" t="inlineStr">
        <is>
          <t>VÄSTRA GÖTALANDS LÄN</t>
        </is>
      </c>
      <c r="G137" t="inlineStr">
        <is>
          <t>STRÖMSTAD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46284</v>
      </c>
      <c r="F138" t="inlineStr">
        <is>
          <t>VÄSTRA GÖTALANDS LÄN</t>
        </is>
      </c>
      <c r="G138" t="inlineStr">
        <is>
          <t>STRÖMSTAD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46284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46284</v>
      </c>
      <c r="F140" t="inlineStr">
        <is>
          <t>VÄSTRA GÖTALANDS LÄN</t>
        </is>
      </c>
      <c r="G140" t="inlineStr">
        <is>
          <t>STRÖMSTAD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46284</v>
      </c>
      <c r="F141" t="inlineStr">
        <is>
          <t>VÄSTRA GÖTALANDS LÄN</t>
        </is>
      </c>
      <c r="G141" t="inlineStr">
        <is>
          <t>STRÖMSTAD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46284</v>
      </c>
      <c r="F142" t="inlineStr">
        <is>
          <t>VÄSTRA GÖTALANDS LÄN</t>
        </is>
      </c>
      <c r="G142" t="inlineStr">
        <is>
          <t>STRÖMSTAD</t>
        </is>
      </c>
      <c r="H142" t="inlineStr">
        <is>
          <t>Kommuner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46284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46284</v>
      </c>
      <c r="F144" t="inlineStr">
        <is>
          <t>VÄSTRA GÖTALANDS LÄN</t>
        </is>
      </c>
      <c r="G144" t="inlineStr">
        <is>
          <t>STRÖMSTAD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46284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45482</v>
      </c>
      <c r="E146" s="1" t="n">
        <v>46284</v>
      </c>
      <c r="F146" t="inlineStr">
        <is>
          <t>VÄSTRA GÖTALANDS LÄN</t>
        </is>
      </c>
      <c r="G146" t="inlineStr">
        <is>
          <t>STRÖMSTAD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44525</v>
      </c>
      <c r="E147" s="1" t="n">
        <v>46284</v>
      </c>
      <c r="F147" t="inlineStr">
        <is>
          <t>VÄSTRA GÖTALANDS LÄN</t>
        </is>
      </c>
      <c r="G147" t="inlineStr">
        <is>
          <t>STRÖMSTAD</t>
        </is>
      </c>
      <c r="I147" t="n">
        <v>15.5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46284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46284</v>
      </c>
      <c r="F149" t="inlineStr">
        <is>
          <t>VÄSTRA GÖTALANDS LÄN</t>
        </is>
      </c>
      <c r="G149" t="inlineStr">
        <is>
          <t>STRÖMSTAD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46284</v>
      </c>
      <c r="F150" t="inlineStr">
        <is>
          <t>VÄSTRA GÖTALANDS LÄN</t>
        </is>
      </c>
      <c r="G150" t="inlineStr">
        <is>
          <t>STRÖMSTAD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45483</v>
      </c>
      <c r="E151" s="1" t="n">
        <v>46284</v>
      </c>
      <c r="F151" t="inlineStr">
        <is>
          <t>VÄSTRA GÖTALANDS LÄN</t>
        </is>
      </c>
      <c r="G151" t="inlineStr">
        <is>
          <t>STRÖMSTAD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46284</v>
      </c>
      <c r="F152" t="inlineStr">
        <is>
          <t>VÄSTRA GÖTALANDS LÄN</t>
        </is>
      </c>
      <c r="G152" t="inlineStr">
        <is>
          <t>STRÖMSTAD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46284</v>
      </c>
      <c r="F153" t="inlineStr">
        <is>
          <t>VÄSTRA GÖTALANDS LÄN</t>
        </is>
      </c>
      <c r="G153" t="inlineStr">
        <is>
          <t>STRÖMSTAD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46284</v>
      </c>
      <c r="F154" t="inlineStr">
        <is>
          <t>VÄSTRA GÖTALANDS LÄN</t>
        </is>
      </c>
      <c r="G154" t="inlineStr">
        <is>
          <t>STRÖMSTAD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46284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46284</v>
      </c>
      <c r="F156" t="inlineStr">
        <is>
          <t>VÄSTRA GÖTALANDS LÄN</t>
        </is>
      </c>
      <c r="G156" t="inlineStr">
        <is>
          <t>STRÖMSTAD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46156</v>
      </c>
      <c r="E157" s="1" t="n">
        <v>46284</v>
      </c>
      <c r="F157" t="inlineStr">
        <is>
          <t>VÄSTRA GÖTALANDS LÄN</t>
        </is>
      </c>
      <c r="G157" t="inlineStr">
        <is>
          <t>STRÖMSTAD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46284</v>
      </c>
      <c r="F158" t="inlineStr">
        <is>
          <t>VÄSTRA GÖTALANDS LÄN</t>
        </is>
      </c>
      <c r="G158" t="inlineStr">
        <is>
          <t>STRÖMSTAD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46284</v>
      </c>
      <c r="F159" t="inlineStr">
        <is>
          <t>VÄSTRA GÖTALANDS LÄN</t>
        </is>
      </c>
      <c r="G159" t="inlineStr">
        <is>
          <t>STRÖMSTAD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46284</v>
      </c>
      <c r="F160" t="inlineStr">
        <is>
          <t>VÄSTRA GÖTALANDS LÄN</t>
        </is>
      </c>
      <c r="G160" t="inlineStr">
        <is>
          <t>STRÖMSTAD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45318</v>
      </c>
      <c r="E161" s="1" t="n">
        <v>46284</v>
      </c>
      <c r="F161" t="inlineStr">
        <is>
          <t>VÄSTRA GÖTALANDS LÄN</t>
        </is>
      </c>
      <c r="G161" t="inlineStr">
        <is>
          <t>STRÖMSTAD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46284</v>
      </c>
      <c r="F162" t="inlineStr">
        <is>
          <t>VÄSTRA GÖTALANDS LÄN</t>
        </is>
      </c>
      <c r="G162" t="inlineStr">
        <is>
          <t>STRÖMSTAD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46284</v>
      </c>
      <c r="F163" t="inlineStr">
        <is>
          <t>VÄSTRA GÖTALANDS LÄN</t>
        </is>
      </c>
      <c r="G163" t="inlineStr">
        <is>
          <t>STRÖMSTAD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46204</v>
      </c>
      <c r="E164" s="1" t="n">
        <v>46284</v>
      </c>
      <c r="F164" t="inlineStr">
        <is>
          <t>VÄSTRA GÖTALANDS LÄN</t>
        </is>
      </c>
      <c r="G164" t="inlineStr">
        <is>
          <t>STRÖMSTAD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46284</v>
      </c>
      <c r="F165" t="inlineStr">
        <is>
          <t>VÄSTRA GÖTALANDS LÄN</t>
        </is>
      </c>
      <c r="G165" t="inlineStr">
        <is>
          <t>STRÖMSTAD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46103</v>
      </c>
      <c r="E166" s="1" t="n">
        <v>46284</v>
      </c>
      <c r="F166" t="inlineStr">
        <is>
          <t>VÄSTRA GÖTALANDS LÄN</t>
        </is>
      </c>
      <c r="G166" t="inlineStr">
        <is>
          <t>STRÖMSTAD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46284</v>
      </c>
      <c r="F167" t="inlineStr">
        <is>
          <t>VÄSTRA GÖTALANDS LÄN</t>
        </is>
      </c>
      <c r="G167" t="inlineStr">
        <is>
          <t>STRÖMSTAD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46284</v>
      </c>
      <c r="F168" t="inlineStr">
        <is>
          <t>VÄSTRA GÖTALANDS LÄN</t>
        </is>
      </c>
      <c r="G168" t="inlineStr">
        <is>
          <t>STRÖMSTAD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45645</v>
      </c>
      <c r="E169" s="1" t="n">
        <v>46284</v>
      </c>
      <c r="F169" t="inlineStr">
        <is>
          <t>VÄSTRA GÖTALANDS LÄN</t>
        </is>
      </c>
      <c r="G169" t="inlineStr">
        <is>
          <t>STRÖMSTAD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46284</v>
      </c>
      <c r="F170" t="inlineStr">
        <is>
          <t>VÄSTRA GÖTALANDS LÄN</t>
        </is>
      </c>
      <c r="G170" t="inlineStr">
        <is>
          <t>STRÖMSTAD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45579</v>
      </c>
      <c r="E171" s="1" t="n">
        <v>46284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Kyrkan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44603</v>
      </c>
      <c r="E172" s="1" t="n">
        <v>46284</v>
      </c>
      <c r="F172" t="inlineStr">
        <is>
          <t>VÄSTRA GÖTALANDS LÄN</t>
        </is>
      </c>
      <c r="G172" t="inlineStr">
        <is>
          <t>STRÖMSTAD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46284</v>
      </c>
      <c r="F173" t="inlineStr">
        <is>
          <t>VÄSTRA GÖTALANDS LÄN</t>
        </is>
      </c>
      <c r="G173" t="inlineStr">
        <is>
          <t>STRÖMSTAD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45301</v>
      </c>
      <c r="E174" s="1" t="n">
        <v>46284</v>
      </c>
      <c r="F174" t="inlineStr">
        <is>
          <t>VÄSTRA GÖTALANDS LÄN</t>
        </is>
      </c>
      <c r="G174" t="inlineStr">
        <is>
          <t>STRÖMSTAD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46284</v>
      </c>
      <c r="F175" t="inlineStr">
        <is>
          <t>VÄSTRA GÖTALANDS LÄN</t>
        </is>
      </c>
      <c r="G175" t="inlineStr">
        <is>
          <t>STRÖMSTAD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44645</v>
      </c>
      <c r="E176" s="1" t="n">
        <v>46284</v>
      </c>
      <c r="F176" t="inlineStr">
        <is>
          <t>VÄSTRA GÖTALANDS LÄN</t>
        </is>
      </c>
      <c r="G176" t="inlineStr">
        <is>
          <t>STRÖMSTAD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46260</v>
      </c>
      <c r="E177" s="1" t="n">
        <v>46284</v>
      </c>
      <c r="F177" t="inlineStr">
        <is>
          <t>VÄSTRA GÖTALANDS LÄN</t>
        </is>
      </c>
      <c r="G177" t="inlineStr">
        <is>
          <t>STRÖMSTAD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46284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56130-2022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44886</v>
      </c>
      <c r="E179" s="1" t="n">
        <v>46284</v>
      </c>
      <c r="F179" t="inlineStr">
        <is>
          <t>VÄSTRA GÖTALANDS LÄN</t>
        </is>
      </c>
      <c r="G179" t="inlineStr">
        <is>
          <t>STRÖMSTAD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46284</v>
      </c>
      <c r="F180" t="inlineStr">
        <is>
          <t>VÄSTRA GÖTALANDS LÄN</t>
        </is>
      </c>
      <c r="G180" t="inlineStr">
        <is>
          <t>STRÖMSTAD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46284</v>
      </c>
      <c r="F181" t="inlineStr">
        <is>
          <t>VÄSTRA GÖTALANDS LÄN</t>
        </is>
      </c>
      <c r="G181" t="inlineStr">
        <is>
          <t>STRÖMSTAD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46284</v>
      </c>
      <c r="F182" t="inlineStr">
        <is>
          <t>VÄSTRA GÖTALANDS LÄN</t>
        </is>
      </c>
      <c r="G182" t="inlineStr">
        <is>
          <t>STRÖMSTAD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46284</v>
      </c>
      <c r="F183" t="inlineStr">
        <is>
          <t>VÄSTRA GÖTALANDS LÄN</t>
        </is>
      </c>
      <c r="G183" t="inlineStr">
        <is>
          <t>STRÖMSTAD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46284</v>
      </c>
      <c r="F184" t="inlineStr">
        <is>
          <t>VÄSTRA GÖTALANDS LÄN</t>
        </is>
      </c>
      <c r="G184" t="inlineStr">
        <is>
          <t>STRÖMSTAD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46284</v>
      </c>
      <c r="F185" t="inlineStr">
        <is>
          <t>VÄSTRA GÖTALANDS LÄN</t>
        </is>
      </c>
      <c r="G185" t="inlineStr">
        <is>
          <t>STRÖMSTAD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46284</v>
      </c>
      <c r="F186" t="inlineStr">
        <is>
          <t>VÄSTRA GÖTALANDS LÄN</t>
        </is>
      </c>
      <c r="G186" t="inlineStr">
        <is>
          <t>STRÖMSTAD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46279</v>
      </c>
      <c r="E187" s="1" t="n">
        <v>46284</v>
      </c>
      <c r="F187" t="inlineStr">
        <is>
          <t>VÄSTRA GÖTALANDS LÄN</t>
        </is>
      </c>
      <c r="G187" t="inlineStr">
        <is>
          <t>STRÖMSTAD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46284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45739</v>
      </c>
      <c r="E189" s="1" t="n">
        <v>46284</v>
      </c>
      <c r="F189" t="inlineStr">
        <is>
          <t>VÄSTRA GÖTALANDS LÄN</t>
        </is>
      </c>
      <c r="G189" t="inlineStr">
        <is>
          <t>STRÖMSTAD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46284</v>
      </c>
      <c r="F190" t="inlineStr">
        <is>
          <t>VÄSTRA GÖTALANDS LÄN</t>
        </is>
      </c>
      <c r="G190" t="inlineStr">
        <is>
          <t>STRÖMSTAD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45739</v>
      </c>
      <c r="E191" s="1" t="n">
        <v>46284</v>
      </c>
      <c r="F191" t="inlineStr">
        <is>
          <t>VÄSTRA GÖTALANDS LÄN</t>
        </is>
      </c>
      <c r="G191" t="inlineStr">
        <is>
          <t>STRÖMSTAD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46284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46284</v>
      </c>
      <c r="F193" t="inlineStr">
        <is>
          <t>VÄSTRA GÖTALANDS LÄN</t>
        </is>
      </c>
      <c r="G193" t="inlineStr">
        <is>
          <t>STRÖMSTAD</t>
        </is>
      </c>
      <c r="H193" t="inlineStr">
        <is>
          <t>Kyrkan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46284</v>
      </c>
      <c r="F194" t="inlineStr">
        <is>
          <t>VÄSTRA GÖTALANDS LÄN</t>
        </is>
      </c>
      <c r="G194" t="inlineStr">
        <is>
          <t>STRÖMSTAD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45596</v>
      </c>
      <c r="E195" s="1" t="n">
        <v>46284</v>
      </c>
      <c r="F195" t="inlineStr">
        <is>
          <t>VÄSTRA GÖTALANDS LÄN</t>
        </is>
      </c>
      <c r="G195" t="inlineStr">
        <is>
          <t>STRÖMSTAD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46284</v>
      </c>
      <c r="F196" t="inlineStr">
        <is>
          <t>VÄSTRA GÖTALANDS LÄN</t>
        </is>
      </c>
      <c r="G196" t="inlineStr">
        <is>
          <t>STRÖMSTAD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46284</v>
      </c>
      <c r="F197" t="inlineStr">
        <is>
          <t>VÄSTRA GÖTALANDS LÄN</t>
        </is>
      </c>
      <c r="G197" t="inlineStr">
        <is>
          <t>STRÖMSTAD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45018</v>
      </c>
      <c r="E198" s="1" t="n">
        <v>46284</v>
      </c>
      <c r="F198" t="inlineStr">
        <is>
          <t>VÄSTRA GÖTALANDS LÄN</t>
        </is>
      </c>
      <c r="G198" t="inlineStr">
        <is>
          <t>STRÖMSTAD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44649</v>
      </c>
      <c r="E199" s="1" t="n">
        <v>46284</v>
      </c>
      <c r="F199" t="inlineStr">
        <is>
          <t>VÄSTRA GÖTALANDS LÄN</t>
        </is>
      </c>
      <c r="G199" t="inlineStr">
        <is>
          <t>STRÖMSTAD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46284</v>
      </c>
      <c r="F200" t="inlineStr">
        <is>
          <t>VÄSTRA GÖTALANDS LÄN</t>
        </is>
      </c>
      <c r="G200" t="inlineStr">
        <is>
          <t>STRÖMSTAD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46284</v>
      </c>
      <c r="F201" t="inlineStr">
        <is>
          <t>VÄSTRA GÖTALANDS LÄN</t>
        </is>
      </c>
      <c r="G201" t="inlineStr">
        <is>
          <t>STRÖMSTAD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46284</v>
      </c>
      <c r="F202" t="inlineStr">
        <is>
          <t>VÄSTRA GÖTALANDS LÄN</t>
        </is>
      </c>
      <c r="G202" t="inlineStr">
        <is>
          <t>STRÖMSTAD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46284</v>
      </c>
      <c r="F203" t="inlineStr">
        <is>
          <t>VÄSTRA GÖTALANDS LÄN</t>
        </is>
      </c>
      <c r="G203" t="inlineStr">
        <is>
          <t>STRÖMSTAD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46284</v>
      </c>
      <c r="F204" t="inlineStr">
        <is>
          <t>VÄSTRA GÖTALANDS LÄN</t>
        </is>
      </c>
      <c r="G204" t="inlineStr">
        <is>
          <t>STRÖMSTAD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46284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46284</v>
      </c>
      <c r="F206" t="inlineStr">
        <is>
          <t>VÄSTRA GÖTALANDS LÄN</t>
        </is>
      </c>
      <c r="G206" t="inlineStr">
        <is>
          <t>STRÖMSTAD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46284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46284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46284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2026-09-19T02:03:29Z</dcterms:created>
  <dcterms:modified xmlns:dcterms="http://purl.org/dc/terms/" xmlns:xsi="http://www.w3.org/2001/XMLSchema-instance" xsi:type="dcterms:W3CDTF">2026-09-19T02:03:29Z</dcterms:modified>
</cp:coreProperties>
</file>