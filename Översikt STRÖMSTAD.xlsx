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46220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s="2" t="inlineStr">
        <is>
          <t>Knärot
Desmeknopp
Gravand
Kricka
Strandskata
Blåsippa
Spillkråka
Havsörn</t>
        </is>
      </c>
      <c r="V2">
        <f>HYPERLINK("https://klasma.github.io/Logging_1486/artfynd/A 10368-2025 artfynd.xlsx", "A 10368-2025")</f>
        <v/>
      </c>
      <c r="W2">
        <f>HYPERLINK("https://klasma.github.io/Logging_1486/kartor/A 10368-2025 karta.png", "A 10368-2025")</f>
        <v/>
      </c>
      <c r="X2">
        <f>HYPERLINK("https://klasma.github.io/Logging_1486/knärot/A 10368-2025 karta knärot.png", "A 10368-2025")</f>
        <v/>
      </c>
      <c r="Y2">
        <f>HYPERLINK("https://klasma.github.io/Logging_1486/klagomål/A 10368-2025 FSC-klagomål.docx", "A 10368-2025")</f>
        <v/>
      </c>
      <c r="Z2">
        <f>HYPERLINK("https://klasma.github.io/Logging_1486/klagomålsmail/A 10368-2025 FSC-klagomål mail.docx", "A 10368-2025")</f>
        <v/>
      </c>
      <c r="AA2">
        <f>HYPERLINK("https://klasma.github.io/Logging_1486/tillsyn/A 10368-2025 tillsynsbegäran.docx", "A 10368-2025")</f>
        <v/>
      </c>
      <c r="AB2">
        <f>HYPERLINK("https://klasma.github.io/Logging_1486/tillsynsmail/A 10368-2025 tillsynsbegäran mail.docx", "A 10368-2025")</f>
        <v/>
      </c>
      <c r="AC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46220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s="2" t="inlineStr">
        <is>
          <t>Grönfink
Gulsparv
Nordfladdermus
Större brunfladdermus
Svartvit flugsnappare
Trädlärka
Ärtsångare</t>
        </is>
      </c>
      <c r="V3">
        <f>HYPERLINK("https://klasma.github.io/Logging_1486/artfynd/A 52833-2025 artfynd.xlsx", "A 52833-2025")</f>
        <v/>
      </c>
      <c r="W3">
        <f>HYPERLINK("https://klasma.github.io/Logging_1486/kartor/A 52833-2025 karta.png", "A 52833-2025")</f>
        <v/>
      </c>
      <c r="Y3">
        <f>HYPERLINK("https://klasma.github.io/Logging_1486/klagomål/A 52833-2025 FSC-klagomål.docx", "A 52833-2025")</f>
        <v/>
      </c>
      <c r="Z3">
        <f>HYPERLINK("https://klasma.github.io/Logging_1486/klagomålsmail/A 52833-2025 FSC-klagomål mail.docx", "A 52833-2025")</f>
        <v/>
      </c>
      <c r="AA3">
        <f>HYPERLINK("https://klasma.github.io/Logging_1486/tillsyn/A 52833-2025 tillsynsbegäran.docx", "A 52833-2025")</f>
        <v/>
      </c>
      <c r="AB3">
        <f>HYPERLINK("https://klasma.github.io/Logging_1486/tillsynsmail/A 52833-2025 tillsynsbegäran mail.docx", "A 52833-2025")</f>
        <v/>
      </c>
      <c r="AC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46220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s="2" t="inlineStr">
        <is>
          <t>Grönfink
Gulsparv
Nordfladdermus
Större brunfladdermus
Svartvit flugsnappare
Trädlärka
Ärtsångare</t>
        </is>
      </c>
      <c r="V4">
        <f>HYPERLINK("https://klasma.github.io/Logging_1486/artfynd/A 59902-2025 artfynd.xlsx", "A 59902-2025")</f>
        <v/>
      </c>
      <c r="W4">
        <f>HYPERLINK("https://klasma.github.io/Logging_1486/kartor/A 59902-2025 karta.png", "A 59902-2025")</f>
        <v/>
      </c>
      <c r="Y4">
        <f>HYPERLINK("https://klasma.github.io/Logging_1486/klagomål/A 59902-2025 FSC-klagomål.docx", "A 59902-2025")</f>
        <v/>
      </c>
      <c r="Z4">
        <f>HYPERLINK("https://klasma.github.io/Logging_1486/klagomålsmail/A 59902-2025 FSC-klagomål mail.docx", "A 59902-2025")</f>
        <v/>
      </c>
      <c r="AA4">
        <f>HYPERLINK("https://klasma.github.io/Logging_1486/tillsyn/A 59902-2025 tillsynsbegäran.docx", "A 59902-2025")</f>
        <v/>
      </c>
      <c r="AB4">
        <f>HYPERLINK("https://klasma.github.io/Logging_1486/tillsynsmail/A 59902-2025 tillsynsbegäran mail.docx", "A 59902-2025")</f>
        <v/>
      </c>
      <c r="AC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46220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s="2" t="inlineStr">
        <is>
          <t>Knärot
Duvhök
Vedflamlav
Vedskivlav
Blåmossa
Revlummer</t>
        </is>
      </c>
      <c r="V5">
        <f>HYPERLINK("https://klasma.github.io/Logging_1486/artfynd/A 49356-2021 artfynd.xlsx", "A 49356-2021")</f>
        <v/>
      </c>
      <c r="W5">
        <f>HYPERLINK("https://klasma.github.io/Logging_1486/kartor/A 49356-2021 karta.png", "A 49356-2021")</f>
        <v/>
      </c>
      <c r="X5">
        <f>HYPERLINK("https://klasma.github.io/Logging_1486/knärot/A 49356-2021 karta knärot.png", "A 49356-2021")</f>
        <v/>
      </c>
      <c r="Y5">
        <f>HYPERLINK("https://klasma.github.io/Logging_1486/klagomål/A 49356-2021 FSC-klagomål.docx", "A 49356-2021")</f>
        <v/>
      </c>
      <c r="Z5">
        <f>HYPERLINK("https://klasma.github.io/Logging_1486/klagomålsmail/A 49356-2021 FSC-klagomål mail.docx", "A 49356-2021")</f>
        <v/>
      </c>
      <c r="AA5">
        <f>HYPERLINK("https://klasma.github.io/Logging_1486/tillsyn/A 49356-2021 tillsynsbegäran.docx", "A 49356-2021")</f>
        <v/>
      </c>
      <c r="AB5">
        <f>HYPERLINK("https://klasma.github.io/Logging_1486/tillsynsmail/A 49356-2021 tillsynsbegäran mail.docx", "A 49356-2021")</f>
        <v/>
      </c>
      <c r="AC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46220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s="2" t="inlineStr">
        <is>
          <t>Hasselsnok
Sandödla
Vanlig groda
Vanlig padda</t>
        </is>
      </c>
      <c r="V6">
        <f>HYPERLINK("https://klasma.github.io/Logging_1486/artfynd/A 59406-2024 artfynd.xlsx", "A 59406-2024")</f>
        <v/>
      </c>
      <c r="W6">
        <f>HYPERLINK("https://klasma.github.io/Logging_1486/kartor/A 59406-2024 karta.png", "A 59406-2024")</f>
        <v/>
      </c>
      <c r="Y6">
        <f>HYPERLINK("https://klasma.github.io/Logging_1486/klagomål/A 59406-2024 FSC-klagomål.docx", "A 59406-2024")</f>
        <v/>
      </c>
      <c r="Z6">
        <f>HYPERLINK("https://klasma.github.io/Logging_1486/klagomålsmail/A 59406-2024 FSC-klagomål mail.docx", "A 59406-2024")</f>
        <v/>
      </c>
      <c r="AA6">
        <f>HYPERLINK("https://klasma.github.io/Logging_1486/tillsyn/A 59406-2024 tillsynsbegäran.docx", "A 59406-2024")</f>
        <v/>
      </c>
      <c r="AB6">
        <f>HYPERLINK("https://klasma.github.io/Logging_1486/tillsynsmail/A 59406-2024 tillsynsbegäran mail.docx", "A 59406-2024")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46220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s="2" t="inlineStr">
        <is>
          <t>Älg
Blåmossa
Spillkråka</t>
        </is>
      </c>
      <c r="V7">
        <f>HYPERLINK("https://klasma.github.io/Logging_1486/artfynd/A 50432-2025 artfynd.xlsx", "A 50432-2025")</f>
        <v/>
      </c>
      <c r="W7">
        <f>HYPERLINK("https://klasma.github.io/Logging_1486/kartor/A 50432-2025 karta.png", "A 50432-2025")</f>
        <v/>
      </c>
      <c r="Y7">
        <f>HYPERLINK("https://klasma.github.io/Logging_1486/klagomål/A 50432-2025 FSC-klagomål.docx", "A 50432-2025")</f>
        <v/>
      </c>
      <c r="Z7">
        <f>HYPERLINK("https://klasma.github.io/Logging_1486/klagomålsmail/A 50432-2025 FSC-klagomål mail.docx", "A 50432-2025")</f>
        <v/>
      </c>
      <c r="AA7">
        <f>HYPERLINK("https://klasma.github.io/Logging_1486/tillsyn/A 50432-2025 tillsynsbegäran.docx", "A 50432-2025")</f>
        <v/>
      </c>
      <c r="AB7">
        <f>HYPERLINK("https://klasma.github.io/Logging_1486/tillsynsmail/A 50432-2025 tillsynsbegäran mail.docx", "A 50432-2025")</f>
        <v/>
      </c>
      <c r="AC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46220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s="2" t="inlineStr">
        <is>
          <t>Älg
Blåmossa
Spillkråka</t>
        </is>
      </c>
      <c r="V8">
        <f>HYPERLINK("https://klasma.github.io/Logging_1486/artfynd/A 50437-2025 artfynd.xlsx", "A 50437-2025")</f>
        <v/>
      </c>
      <c r="W8">
        <f>HYPERLINK("https://klasma.github.io/Logging_1486/kartor/A 50437-2025 karta.png", "A 50437-2025")</f>
        <v/>
      </c>
      <c r="Y8">
        <f>HYPERLINK("https://klasma.github.io/Logging_1486/klagomål/A 50437-2025 FSC-klagomål.docx", "A 50437-2025")</f>
        <v/>
      </c>
      <c r="Z8">
        <f>HYPERLINK("https://klasma.github.io/Logging_1486/klagomålsmail/A 50437-2025 FSC-klagomål mail.docx", "A 50437-2025")</f>
        <v/>
      </c>
      <c r="AA8">
        <f>HYPERLINK("https://klasma.github.io/Logging_1486/tillsyn/A 50437-2025 tillsynsbegäran.docx", "A 50437-2025")</f>
        <v/>
      </c>
      <c r="AB8">
        <f>HYPERLINK("https://klasma.github.io/Logging_1486/tillsynsmail/A 50437-2025 tillsynsbegäran mail.docx", "A 50437-2025")</f>
        <v/>
      </c>
      <c r="AC8">
        <f>HYPERLINK("https://klasma.github.io/Logging_1486/fåglar/A 50437-2025 prioriterade fågelarter.docx", "A 50437-2025")</f>
        <v/>
      </c>
    </row>
    <row r="9" ht="15" customHeight="1">
      <c r="A9" t="inlineStr">
        <is>
          <t>A 62152-2025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46006</v>
      </c>
      <c r="E9" s="1" t="n">
        <v>46220</v>
      </c>
      <c r="F9" t="inlineStr">
        <is>
          <t>VÄSTRA GÖTALANDS LÄN</t>
        </is>
      </c>
      <c r="G9" t="inlineStr">
        <is>
          <t>STRÖMSTAD</t>
        </is>
      </c>
      <c r="I9" t="n">
        <v>3.7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s="2" t="inlineStr">
        <is>
          <t>Blåmossa
Spillkråka
Revlummer</t>
        </is>
      </c>
      <c r="V9">
        <f>HYPERLINK("https://klasma.github.io/Logging_1486/artfynd/A 62152-2025 artfynd.xlsx", "A 62152-2025")</f>
        <v/>
      </c>
      <c r="W9">
        <f>HYPERLINK("https://klasma.github.io/Logging_1486/kartor/A 62152-2025 karta.png", "A 62152-2025")</f>
        <v/>
      </c>
      <c r="Y9">
        <f>HYPERLINK("https://klasma.github.io/Logging_1486/klagomål/A 62152-2025 FSC-klagomål.docx", "A 62152-2025")</f>
        <v/>
      </c>
      <c r="Z9">
        <f>HYPERLINK("https://klasma.github.io/Logging_1486/klagomålsmail/A 62152-2025 FSC-klagomål mail.docx", "A 62152-2025")</f>
        <v/>
      </c>
      <c r="AA9">
        <f>HYPERLINK("https://klasma.github.io/Logging_1486/tillsyn/A 62152-2025 tillsynsbegäran.docx", "A 62152-2025")</f>
        <v/>
      </c>
      <c r="AB9">
        <f>HYPERLINK("https://klasma.github.io/Logging_1486/tillsynsmail/A 62152-2025 tillsynsbegäran mail.docx", "A 62152-2025")</f>
        <v/>
      </c>
      <c r="AC9">
        <f>HYPERLINK("https://klasma.github.io/Logging_1486/fåglar/A 62152-2025 prioriterade fågelarter.docx", "A 62152-2025")</f>
        <v/>
      </c>
    </row>
    <row r="10" ht="15" customHeight="1">
      <c r="A10" t="inlineStr">
        <is>
          <t>A 6043-2024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45336</v>
      </c>
      <c r="E10" s="1" t="n">
        <v>46220</v>
      </c>
      <c r="F10" t="inlineStr">
        <is>
          <t>VÄSTRA GÖTALANDS LÄN</t>
        </is>
      </c>
      <c r="G10" t="inlineStr">
        <is>
          <t>STRÖMSTAD</t>
        </is>
      </c>
      <c r="I10" t="n">
        <v>0.7</v>
      </c>
      <c r="J10" t="n">
        <v>2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7</v>
      </c>
      <c r="U10" s="2" t="inlineStr">
        <is>
          <t>Knärot
Grönpyrola
Revlummer</t>
        </is>
      </c>
      <c r="V10">
        <f>HYPERLINK("https://klasma.github.io/Logging_1486/artfynd/A 6043-2024 artfynd.xlsx", "A 6043-2024")</f>
        <v/>
      </c>
      <c r="W10">
        <f>HYPERLINK("https://klasma.github.io/Logging_1486/kartor/A 6043-2024 karta.png", "A 6043-2024")</f>
        <v/>
      </c>
      <c r="X10">
        <f>HYPERLINK("https://klasma.github.io/Logging_1486/knärot/A 6043-2024 karta knärot.png", "A 6043-2024")</f>
        <v/>
      </c>
      <c r="Y10">
        <f>HYPERLINK("https://klasma.github.io/Logging_1486/klagomål/A 6043-2024 FSC-klagomål.docx", "A 6043-2024")</f>
        <v/>
      </c>
      <c r="Z10">
        <f>HYPERLINK("https://klasma.github.io/Logging_1486/klagomålsmail/A 6043-2024 FSC-klagomål mail.docx", "A 6043-2024")</f>
        <v/>
      </c>
      <c r="AA10">
        <f>HYPERLINK("https://klasma.github.io/Logging_1486/tillsyn/A 6043-2024 tillsynsbegäran.docx", "A 6043-2024")</f>
        <v/>
      </c>
      <c r="AB10">
        <f>HYPERLINK("https://klasma.github.io/Logging_1486/tillsynsmail/A 6043-2024 tillsynsbegäran mail.docx", "A 6043-2024")</f>
        <v/>
      </c>
    </row>
    <row r="11" ht="15" customHeight="1">
      <c r="A11" t="inlineStr">
        <is>
          <t>A 4173-2022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44588</v>
      </c>
      <c r="E11" s="1" t="n">
        <v>46220</v>
      </c>
      <c r="F11" t="inlineStr">
        <is>
          <t>VÄSTRA GÖTALANDS LÄN</t>
        </is>
      </c>
      <c r="G11" t="inlineStr">
        <is>
          <t>STRÖMSTAD</t>
        </is>
      </c>
      <c r="I11" t="n">
        <v>2.8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5</v>
      </c>
      <c r="U11" s="2" t="inlineStr">
        <is>
          <t>Blåmossa
Spillkråka
Revlummer</t>
        </is>
      </c>
      <c r="V11">
        <f>HYPERLINK("https://klasma.github.io/Logging_1486/artfynd/A 4173-2022 artfynd.xlsx", "A 4173-2022")</f>
        <v/>
      </c>
      <c r="W11">
        <f>HYPERLINK("https://klasma.github.io/Logging_1486/kartor/A 4173-2022 karta.png", "A 4173-2022")</f>
        <v/>
      </c>
      <c r="Y11">
        <f>HYPERLINK("https://klasma.github.io/Logging_1486/klagomål/A 4173-2022 FSC-klagomål.docx", "A 4173-2022")</f>
        <v/>
      </c>
      <c r="Z11">
        <f>HYPERLINK("https://klasma.github.io/Logging_1486/klagomålsmail/A 4173-2022 FSC-klagomål mail.docx", "A 4173-2022")</f>
        <v/>
      </c>
      <c r="AA11">
        <f>HYPERLINK("https://klasma.github.io/Logging_1486/tillsyn/A 4173-2022 tillsynsbegäran.docx", "A 4173-2022")</f>
        <v/>
      </c>
      <c r="AB11">
        <f>HYPERLINK("https://klasma.github.io/Logging_1486/tillsynsmail/A 4173-2022 tillsynsbegäran mail.docx", "A 4173-2022")</f>
        <v/>
      </c>
      <c r="AC11">
        <f>HYPERLINK("https://klasma.github.io/Logging_1486/fåglar/A 4173-2022 prioriterade fågelarter.docx", "A 4173-2022")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46220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s="2" t="inlineStr">
        <is>
          <t>Knärot
Ryl
Grönpyrola</t>
        </is>
      </c>
      <c r="V12">
        <f>HYPERLINK("https://klasma.github.io/Logging_1486/artfynd/S 1028-2020 artfynd.xlsx", "S 1028-2020")</f>
        <v/>
      </c>
      <c r="W12">
        <f>HYPERLINK("https://klasma.github.io/Logging_1486/kartor/S 1028-2020 karta.png", "S 1028-2020")</f>
        <v/>
      </c>
      <c r="X12">
        <f>HYPERLINK("https://klasma.github.io/Logging_1486/knärot/S 1028-2020 karta knärot.png", "S 1028-2020")</f>
        <v/>
      </c>
      <c r="Y12">
        <f>HYPERLINK("https://klasma.github.io/Logging_1486/klagomål/S 1028-2020 FSC-klagomål.docx", "S 1028-2020")</f>
        <v/>
      </c>
      <c r="Z12">
        <f>HYPERLINK("https://klasma.github.io/Logging_1486/klagomålsmail/S 1028-2020 FSC-klagomål mail.docx", "S 1028-2020")</f>
        <v/>
      </c>
      <c r="AA12">
        <f>HYPERLINK("https://klasma.github.io/Logging_1486/tillsyn/S 1028-2020 tillsynsbegäran.docx", "S 1028-2020")</f>
        <v/>
      </c>
      <c r="AB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46220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s="2" t="inlineStr">
        <is>
          <t>Gullpudra
Skogssvingel</t>
        </is>
      </c>
      <c r="V13">
        <f>HYPERLINK("https://klasma.github.io/Logging_1486/artfynd/A 1013-2022 artfynd.xlsx", "A 1013-2022")</f>
        <v/>
      </c>
      <c r="W13">
        <f>HYPERLINK("https://klasma.github.io/Logging_1486/kartor/A 1013-2022 karta.png", "A 1013-2022")</f>
        <v/>
      </c>
      <c r="Y13">
        <f>HYPERLINK("https://klasma.github.io/Logging_1486/klagomål/A 1013-2022 FSC-klagomål.docx", "A 1013-2022")</f>
        <v/>
      </c>
      <c r="Z13">
        <f>HYPERLINK("https://klasma.github.io/Logging_1486/klagomålsmail/A 1013-2022 FSC-klagomål mail.docx", "A 1013-2022")</f>
        <v/>
      </c>
      <c r="AA13">
        <f>HYPERLINK("https://klasma.github.io/Logging_1486/tillsyn/A 1013-2022 tillsynsbegäran.docx", "A 1013-2022")</f>
        <v/>
      </c>
      <c r="AB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46220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s="2" t="inlineStr">
        <is>
          <t>Knärot
Lopplummer (aggregat)</t>
        </is>
      </c>
      <c r="V14">
        <f>HYPERLINK("https://klasma.github.io/Logging_1486/artfynd/A 9001-2025 artfynd.xlsx", "A 9001-2025")</f>
        <v/>
      </c>
      <c r="W14">
        <f>HYPERLINK("https://klasma.github.io/Logging_1486/kartor/A 9001-2025 karta.png", "A 9001-2025")</f>
        <v/>
      </c>
      <c r="X14">
        <f>HYPERLINK("https://klasma.github.io/Logging_1486/knärot/A 9001-2025 karta knärot.png", "A 9001-2025")</f>
        <v/>
      </c>
      <c r="Y14">
        <f>HYPERLINK("https://klasma.github.io/Logging_1486/klagomål/A 9001-2025 FSC-klagomål.docx", "A 9001-2025")</f>
        <v/>
      </c>
      <c r="Z14">
        <f>HYPERLINK("https://klasma.github.io/Logging_1486/klagomålsmail/A 9001-2025 FSC-klagomål mail.docx", "A 9001-2025")</f>
        <v/>
      </c>
      <c r="AA14">
        <f>HYPERLINK("https://klasma.github.io/Logging_1486/tillsyn/A 9001-2025 tillsynsbegäran.docx", "A 9001-2025")</f>
        <v/>
      </c>
      <c r="AB14">
        <f>HYPERLINK("https://klasma.github.io/Logging_1486/tillsynsmail/A 9001-2025 tillsynsbegäran mail.docx", "A 9001-2025")</f>
        <v/>
      </c>
    </row>
    <row r="15" ht="15" customHeight="1">
      <c r="A15" t="inlineStr">
        <is>
          <t>A 56318-2025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45974</v>
      </c>
      <c r="E15" s="1" t="n">
        <v>46220</v>
      </c>
      <c r="F15" t="inlineStr">
        <is>
          <t>VÄSTRA GÖTALANDS LÄN</t>
        </is>
      </c>
      <c r="G15" t="inlineStr">
        <is>
          <t>STRÖMSTAD</t>
        </is>
      </c>
      <c r="I15" t="n">
        <v>6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Spillkråka
Kopparödla</t>
        </is>
      </c>
      <c r="V15">
        <f>HYPERLINK("https://klasma.github.io/Logging_1486/artfynd/A 56318-2025 artfynd.xlsx", "A 56318-2025")</f>
        <v/>
      </c>
      <c r="W15">
        <f>HYPERLINK("https://klasma.github.io/Logging_1486/kartor/A 56318-2025 karta.png", "A 56318-2025")</f>
        <v/>
      </c>
      <c r="Y15">
        <f>HYPERLINK("https://klasma.github.io/Logging_1486/klagomål/A 56318-2025 FSC-klagomål.docx", "A 56318-2025")</f>
        <v/>
      </c>
      <c r="Z15">
        <f>HYPERLINK("https://klasma.github.io/Logging_1486/klagomålsmail/A 56318-2025 FSC-klagomål mail.docx", "A 56318-2025")</f>
        <v/>
      </c>
      <c r="AA15">
        <f>HYPERLINK("https://klasma.github.io/Logging_1486/tillsyn/A 56318-2025 tillsynsbegäran.docx", "A 56318-2025")</f>
        <v/>
      </c>
      <c r="AB15">
        <f>HYPERLINK("https://klasma.github.io/Logging_1486/tillsynsmail/A 56318-2025 tillsynsbegäran mail.docx", "A 56318-2025")</f>
        <v/>
      </c>
      <c r="AC15">
        <f>HYPERLINK("https://klasma.github.io/Logging_1486/fåglar/A 56318-2025 prioriterade fågelarter.docx", "A 56318-2025")</f>
        <v/>
      </c>
    </row>
    <row r="16" ht="15" customHeight="1">
      <c r="A16" t="inlineStr">
        <is>
          <t>A 8291-2023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44974</v>
      </c>
      <c r="E16" s="1" t="n">
        <v>46220</v>
      </c>
      <c r="F16" t="inlineStr">
        <is>
          <t>VÄSTRA GÖTALANDS LÄN</t>
        </is>
      </c>
      <c r="G16" t="inlineStr">
        <is>
          <t>STRÖMSTAD</t>
        </is>
      </c>
      <c r="I16" t="n">
        <v>17.3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Spillkråka
Revlummer</t>
        </is>
      </c>
      <c r="V16">
        <f>HYPERLINK("https://klasma.github.io/Logging_1486/artfynd/A 8291-2023 artfynd.xlsx", "A 8291-2023")</f>
        <v/>
      </c>
      <c r="W16">
        <f>HYPERLINK("https://klasma.github.io/Logging_1486/kartor/A 8291-2023 karta.png", "A 8291-2023")</f>
        <v/>
      </c>
      <c r="Y16">
        <f>HYPERLINK("https://klasma.github.io/Logging_1486/klagomål/A 8291-2023 FSC-klagomål.docx", "A 8291-2023")</f>
        <v/>
      </c>
      <c r="Z16">
        <f>HYPERLINK("https://klasma.github.io/Logging_1486/klagomålsmail/A 8291-2023 FSC-klagomål mail.docx", "A 8291-2023")</f>
        <v/>
      </c>
      <c r="AA16">
        <f>HYPERLINK("https://klasma.github.io/Logging_1486/tillsyn/A 8291-2023 tillsynsbegäran.docx", "A 8291-2023")</f>
        <v/>
      </c>
      <c r="AB16">
        <f>HYPERLINK("https://klasma.github.io/Logging_1486/tillsynsmail/A 8291-2023 tillsynsbegäran mail.docx", "A 8291-2023")</f>
        <v/>
      </c>
      <c r="AC16">
        <f>HYPERLINK("https://klasma.github.io/Logging_1486/fåglar/A 8291-2023 prioriterade fågelarter.docx", "A 8291-2023")</f>
        <v/>
      </c>
    </row>
    <row r="17" ht="15" customHeight="1">
      <c r="A17" t="inlineStr">
        <is>
          <t>A 9839-2026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46072</v>
      </c>
      <c r="E17" s="1" t="n">
        <v>46220</v>
      </c>
      <c r="F17" t="inlineStr">
        <is>
          <t>VÄSTRA GÖTALANDS LÄN</t>
        </is>
      </c>
      <c r="G17" t="inlineStr">
        <is>
          <t>STRÖMSTAD</t>
        </is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Lopplummer (aggregat)
Revlummer</t>
        </is>
      </c>
      <c r="V17">
        <f>HYPERLINK("https://klasma.github.io/Logging_1486/artfynd/A 9839-2026 artfynd.xlsx", "A 9839-2026")</f>
        <v/>
      </c>
      <c r="W17">
        <f>HYPERLINK("https://klasma.github.io/Logging_1486/kartor/A 9839-2026 karta.png", "A 9839-2026")</f>
        <v/>
      </c>
      <c r="Y17">
        <f>HYPERLINK("https://klasma.github.io/Logging_1486/klagomål/A 9839-2026 FSC-klagomål.docx", "A 9839-2026")</f>
        <v/>
      </c>
      <c r="Z17">
        <f>HYPERLINK("https://klasma.github.io/Logging_1486/klagomålsmail/A 9839-2026 FSC-klagomål mail.docx", "A 9839-2026")</f>
        <v/>
      </c>
      <c r="AA17">
        <f>HYPERLINK("https://klasma.github.io/Logging_1486/tillsyn/A 9839-2026 tillsynsbegäran.docx", "A 9839-2026")</f>
        <v/>
      </c>
      <c r="AB17">
        <f>HYPERLINK("https://klasma.github.io/Logging_1486/tillsynsmail/A 9839-2026 tillsynsbegäran mail.docx", "A 9839-2026")</f>
        <v/>
      </c>
    </row>
    <row r="18" ht="15" customHeight="1">
      <c r="A18" t="inlineStr">
        <is>
          <t>A 48687-2025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45936</v>
      </c>
      <c r="E18" s="1" t="n">
        <v>46220</v>
      </c>
      <c r="F18" t="inlineStr">
        <is>
          <t>VÄSTRA GÖTALANDS LÄN</t>
        </is>
      </c>
      <c r="G18" t="inlineStr">
        <is>
          <t>STRÖMSTAD</t>
        </is>
      </c>
      <c r="I18" t="n">
        <v>6.4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Backstarr
Blåsippa</t>
        </is>
      </c>
      <c r="V18">
        <f>HYPERLINK("https://klasma.github.io/Logging_1486/artfynd/A 48687-2025 artfynd.xlsx", "A 48687-2025")</f>
        <v/>
      </c>
      <c r="W18">
        <f>HYPERLINK("https://klasma.github.io/Logging_1486/kartor/A 48687-2025 karta.png", "A 48687-2025")</f>
        <v/>
      </c>
      <c r="Y18">
        <f>HYPERLINK("https://klasma.github.io/Logging_1486/klagomål/A 48687-2025 FSC-klagomål.docx", "A 48687-2025")</f>
        <v/>
      </c>
      <c r="Z18">
        <f>HYPERLINK("https://klasma.github.io/Logging_1486/klagomålsmail/A 48687-2025 FSC-klagomål mail.docx", "A 48687-2025")</f>
        <v/>
      </c>
      <c r="AA18">
        <f>HYPERLINK("https://klasma.github.io/Logging_1486/tillsyn/A 48687-2025 tillsynsbegäran.docx", "A 48687-2025")</f>
        <v/>
      </c>
      <c r="AB18">
        <f>HYPERLINK("https://klasma.github.io/Logging_1486/tillsynsmail/A 48687-2025 tillsynsbegäran mail.docx", "A 48687-2025")</f>
        <v/>
      </c>
    </row>
    <row r="19" ht="15" customHeight="1">
      <c r="A19" t="inlineStr">
        <is>
          <t>A 33772-2023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45133</v>
      </c>
      <c r="E19" s="1" t="n">
        <v>46220</v>
      </c>
      <c r="F19" t="inlineStr">
        <is>
          <t>VÄSTRA GÖTALANDS LÄN</t>
        </is>
      </c>
      <c r="G19" t="inlineStr">
        <is>
          <t>STRÖMSTAD</t>
        </is>
      </c>
      <c r="I19" t="n">
        <v>2.2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Entita</t>
        </is>
      </c>
      <c r="V19">
        <f>HYPERLINK("https://klasma.github.io/Logging_1486/artfynd/A 33772-2023 artfynd.xlsx", "A 33772-2023")</f>
        <v/>
      </c>
      <c r="W19">
        <f>HYPERLINK("https://klasma.github.io/Logging_1486/kartor/A 33772-2023 karta.png", "A 33772-2023")</f>
        <v/>
      </c>
      <c r="Y19">
        <f>HYPERLINK("https://klasma.github.io/Logging_1486/klagomål/A 33772-2023 FSC-klagomål.docx", "A 33772-2023")</f>
        <v/>
      </c>
      <c r="Z19">
        <f>HYPERLINK("https://klasma.github.io/Logging_1486/klagomålsmail/A 33772-2023 FSC-klagomål mail.docx", "A 33772-2023")</f>
        <v/>
      </c>
      <c r="AA19">
        <f>HYPERLINK("https://klasma.github.io/Logging_1486/tillsyn/A 33772-2023 tillsynsbegäran.docx", "A 33772-2023")</f>
        <v/>
      </c>
      <c r="AB19">
        <f>HYPERLINK("https://klasma.github.io/Logging_1486/tillsynsmail/A 33772-2023 tillsynsbegäran mail.docx", "A 33772-2023")</f>
        <v/>
      </c>
      <c r="AC19">
        <f>HYPERLINK("https://klasma.github.io/Logging_1486/fåglar/A 33772-2023 prioriterade fågelarter.docx", "A 33772-2023")</f>
        <v/>
      </c>
    </row>
    <row r="20" ht="15" customHeight="1">
      <c r="A20" t="inlineStr">
        <is>
          <t>A 15667-2024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46220</v>
      </c>
      <c r="F20" t="inlineStr">
        <is>
          <t>VÄSTRA GÖTALANDS LÄN</t>
        </is>
      </c>
      <c r="G20" t="inlineStr">
        <is>
          <t>STRÖMSTAD</t>
        </is>
      </c>
      <c r="I20" t="n">
        <v>1.3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Gullpudra</t>
        </is>
      </c>
      <c r="V20">
        <f>HYPERLINK("https://klasma.github.io/Logging_1486/artfynd/A 15667-2024 artfynd.xlsx", "A 15667-2024")</f>
        <v/>
      </c>
      <c r="W20">
        <f>HYPERLINK("https://klasma.github.io/Logging_1486/kartor/A 15667-2024 karta.png", "A 15667-2024")</f>
        <v/>
      </c>
      <c r="Y20">
        <f>HYPERLINK("https://klasma.github.io/Logging_1486/klagomål/A 15667-2024 FSC-klagomål.docx", "A 15667-2024")</f>
        <v/>
      </c>
      <c r="Z20">
        <f>HYPERLINK("https://klasma.github.io/Logging_1486/klagomålsmail/A 15667-2024 FSC-klagomål mail.docx", "A 15667-2024")</f>
        <v/>
      </c>
      <c r="AA20">
        <f>HYPERLINK("https://klasma.github.io/Logging_1486/tillsyn/A 15667-2024 tillsynsbegäran.docx", "A 15667-2024")</f>
        <v/>
      </c>
      <c r="AB20">
        <f>HYPERLINK("https://klasma.github.io/Logging_1486/tillsynsmail/A 15667-2024 tillsynsbegäran mail.docx", "A 15667-2024")</f>
        <v/>
      </c>
    </row>
    <row r="21" ht="15" customHeight="1">
      <c r="A21" t="inlineStr">
        <is>
          <t>A 50607-2025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45945</v>
      </c>
      <c r="E21" s="1" t="n">
        <v>46220</v>
      </c>
      <c r="F21" t="inlineStr">
        <is>
          <t>VÄSTRA GÖTALANDS LÄN</t>
        </is>
      </c>
      <c r="G21" t="inlineStr">
        <is>
          <t>STRÖMSTAD</t>
        </is>
      </c>
      <c r="I21" t="n">
        <v>14.5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Vanlig padda</t>
        </is>
      </c>
      <c r="V21">
        <f>HYPERLINK("https://klasma.github.io/Logging_1486/artfynd/A 50607-2025 artfynd.xlsx", "A 50607-2025")</f>
        <v/>
      </c>
      <c r="W21">
        <f>HYPERLINK("https://klasma.github.io/Logging_1486/kartor/A 50607-2025 karta.png", "A 50607-2025")</f>
        <v/>
      </c>
      <c r="Y21">
        <f>HYPERLINK("https://klasma.github.io/Logging_1486/klagomål/A 50607-2025 FSC-klagomål.docx", "A 50607-2025")</f>
        <v/>
      </c>
      <c r="Z21">
        <f>HYPERLINK("https://klasma.github.io/Logging_1486/klagomålsmail/A 50607-2025 FSC-klagomål mail.docx", "A 50607-2025")</f>
        <v/>
      </c>
      <c r="AA21">
        <f>HYPERLINK("https://klasma.github.io/Logging_1486/tillsyn/A 50607-2025 tillsynsbegäran.docx", "A 50607-2025")</f>
        <v/>
      </c>
      <c r="AB21">
        <f>HYPERLINK("https://klasma.github.io/Logging_1486/tillsynsmail/A 50607-2025 tillsynsbegäran mail.docx", "A 50607-2025")</f>
        <v/>
      </c>
    </row>
    <row r="22" ht="15" customHeight="1">
      <c r="A22" t="inlineStr">
        <is>
          <t>A 64707-2023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45281</v>
      </c>
      <c r="E22" s="1" t="n">
        <v>46220</v>
      </c>
      <c r="F22" t="inlineStr">
        <is>
          <t>VÄSTRA GÖTALANDS LÄN</t>
        </is>
      </c>
      <c r="G22" t="inlineStr">
        <is>
          <t>STRÖMSTAD</t>
        </is>
      </c>
      <c r="H22" t="inlineStr">
        <is>
          <t>Kommuner</t>
        </is>
      </c>
      <c r="I22" t="n">
        <v>11.9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Knärot</t>
        </is>
      </c>
      <c r="V22">
        <f>HYPERLINK("https://klasma.github.io/Logging_1486/artfynd/A 64707-2023 artfynd.xlsx", "A 64707-2023")</f>
        <v/>
      </c>
      <c r="W22">
        <f>HYPERLINK("https://klasma.github.io/Logging_1486/kartor/A 64707-2023 karta.png", "A 64707-2023")</f>
        <v/>
      </c>
      <c r="X22">
        <f>HYPERLINK("https://klasma.github.io/Logging_1486/knärot/A 64707-2023 karta knärot.png", "A 64707-2023")</f>
        <v/>
      </c>
      <c r="Y22">
        <f>HYPERLINK("https://klasma.github.io/Logging_1486/klagomål/A 64707-2023 FSC-klagomål.docx", "A 64707-2023")</f>
        <v/>
      </c>
      <c r="Z22">
        <f>HYPERLINK("https://klasma.github.io/Logging_1486/klagomålsmail/A 64707-2023 FSC-klagomål mail.docx", "A 64707-2023")</f>
        <v/>
      </c>
      <c r="AA22">
        <f>HYPERLINK("https://klasma.github.io/Logging_1486/tillsyn/A 64707-2023 tillsynsbegäran.docx", "A 64707-2023")</f>
        <v/>
      </c>
      <c r="AB22">
        <f>HYPERLINK("https://klasma.github.io/Logging_1486/tillsynsmail/A 64707-2023 tillsynsbegäran mail.docx", "A 64707-2023")</f>
        <v/>
      </c>
    </row>
    <row r="23" ht="15" customHeight="1">
      <c r="A23" t="inlineStr">
        <is>
          <t>A 53485-2023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46220</v>
      </c>
      <c r="F23" t="inlineStr">
        <is>
          <t>VÄSTRA GÖTALANDS LÄN</t>
        </is>
      </c>
      <c r="G23" t="inlineStr">
        <is>
          <t>STRÖMSTAD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Spillkråka</t>
        </is>
      </c>
      <c r="V23">
        <f>HYPERLINK("https://klasma.github.io/Logging_1486/artfynd/A 53485-2023 artfynd.xlsx", "A 53485-2023")</f>
        <v/>
      </c>
      <c r="W23">
        <f>HYPERLINK("https://klasma.github.io/Logging_1486/kartor/A 53485-2023 karta.png", "A 53485-2023")</f>
        <v/>
      </c>
      <c r="Y23">
        <f>HYPERLINK("https://klasma.github.io/Logging_1486/klagomål/A 53485-2023 FSC-klagomål.docx", "A 53485-2023")</f>
        <v/>
      </c>
      <c r="Z23">
        <f>HYPERLINK("https://klasma.github.io/Logging_1486/klagomålsmail/A 53485-2023 FSC-klagomål mail.docx", "A 53485-2023")</f>
        <v/>
      </c>
      <c r="AA23">
        <f>HYPERLINK("https://klasma.github.io/Logging_1486/tillsyn/A 53485-2023 tillsynsbegäran.docx", "A 53485-2023")</f>
        <v/>
      </c>
      <c r="AB23">
        <f>HYPERLINK("https://klasma.github.io/Logging_1486/tillsynsmail/A 53485-2023 tillsynsbegäran mail.docx", "A 53485-2023")</f>
        <v/>
      </c>
      <c r="AC23">
        <f>HYPERLINK("https://klasma.github.io/Logging_1486/fåglar/A 53485-2023 prioriterade fågelarter.docx", "A 53485-2023")</f>
        <v/>
      </c>
    </row>
    <row r="24" ht="15" customHeight="1">
      <c r="A24" t="inlineStr">
        <is>
          <t>A 10764-2024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45369</v>
      </c>
      <c r="E24" s="1" t="n">
        <v>46220</v>
      </c>
      <c r="F24" t="inlineStr">
        <is>
          <t>VÄSTRA GÖTALANDS LÄN</t>
        </is>
      </c>
      <c r="G24" t="inlineStr">
        <is>
          <t>STRÖMSTAD</t>
        </is>
      </c>
      <c r="I24" t="n">
        <v>8.300000000000001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Blåsippa</t>
        </is>
      </c>
      <c r="V24">
        <f>HYPERLINK("https://klasma.github.io/Logging_1486/artfynd/A 10764-2024 artfynd.xlsx", "A 10764-2024")</f>
        <v/>
      </c>
      <c r="W24">
        <f>HYPERLINK("https://klasma.github.io/Logging_1486/kartor/A 10764-2024 karta.png", "A 10764-2024")</f>
        <v/>
      </c>
      <c r="Y24">
        <f>HYPERLINK("https://klasma.github.io/Logging_1486/klagomål/A 10764-2024 FSC-klagomål.docx", "A 10764-2024")</f>
        <v/>
      </c>
      <c r="Z24">
        <f>HYPERLINK("https://klasma.github.io/Logging_1486/klagomålsmail/A 10764-2024 FSC-klagomål mail.docx", "A 10764-2024")</f>
        <v/>
      </c>
      <c r="AA24">
        <f>HYPERLINK("https://klasma.github.io/Logging_1486/tillsyn/A 10764-2024 tillsynsbegäran.docx", "A 10764-2024")</f>
        <v/>
      </c>
      <c r="AB24">
        <f>HYPERLINK("https://klasma.github.io/Logging_1486/tillsynsmail/A 10764-2024 tillsynsbegäran mail.docx", "A 10764-2024")</f>
        <v/>
      </c>
    </row>
    <row r="25" ht="15" customHeight="1">
      <c r="A25" t="inlineStr">
        <is>
          <t>A 12238-2025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45729</v>
      </c>
      <c r="E25" s="1" t="n">
        <v>46220</v>
      </c>
      <c r="F25" t="inlineStr">
        <is>
          <t>VÄSTRA GÖTALANDS LÄN</t>
        </is>
      </c>
      <c r="G25" t="inlineStr">
        <is>
          <t>STRÖMSTAD</t>
        </is>
      </c>
      <c r="I25" t="n">
        <v>10.6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Tjäder</t>
        </is>
      </c>
      <c r="V25">
        <f>HYPERLINK("https://klasma.github.io/Logging_1486/artfynd/A 12238-2025 artfynd.xlsx", "A 12238-2025")</f>
        <v/>
      </c>
      <c r="W25">
        <f>HYPERLINK("https://klasma.github.io/Logging_1486/kartor/A 12238-2025 karta.png", "A 12238-2025")</f>
        <v/>
      </c>
      <c r="Y25">
        <f>HYPERLINK("https://klasma.github.io/Logging_1486/klagomål/A 12238-2025 FSC-klagomål.docx", "A 12238-2025")</f>
        <v/>
      </c>
      <c r="Z25">
        <f>HYPERLINK("https://klasma.github.io/Logging_1486/klagomålsmail/A 12238-2025 FSC-klagomål mail.docx", "A 12238-2025")</f>
        <v/>
      </c>
      <c r="AA25">
        <f>HYPERLINK("https://klasma.github.io/Logging_1486/tillsyn/A 12238-2025 tillsynsbegäran.docx", "A 12238-2025")</f>
        <v/>
      </c>
      <c r="AB25">
        <f>HYPERLINK("https://klasma.github.io/Logging_1486/tillsynsmail/A 12238-2025 tillsynsbegäran mail.docx", "A 12238-2025")</f>
        <v/>
      </c>
      <c r="AC25">
        <f>HYPERLINK("https://klasma.github.io/Logging_1486/fåglar/A 12238-2025 prioriterade fågelarter.docx", "A 12238-2025")</f>
        <v/>
      </c>
    </row>
    <row r="26" ht="15" customHeight="1">
      <c r="A26" t="inlineStr">
        <is>
          <t>A 24514-2024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45458</v>
      </c>
      <c r="E26" s="1" t="n">
        <v>46220</v>
      </c>
      <c r="F26" t="inlineStr">
        <is>
          <t>VÄSTRA GÖTALANDS LÄN</t>
        </is>
      </c>
      <c r="G26" t="inlineStr">
        <is>
          <t>STRÖMSTAD</t>
        </is>
      </c>
      <c r="I26" t="n">
        <v>1.8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Mattlummer</t>
        </is>
      </c>
      <c r="V26">
        <f>HYPERLINK("https://klasma.github.io/Logging_1486/artfynd/A 24514-2024 artfynd.xlsx", "A 24514-2024")</f>
        <v/>
      </c>
      <c r="W26">
        <f>HYPERLINK("https://klasma.github.io/Logging_1486/kartor/A 24514-2024 karta.png", "A 24514-2024")</f>
        <v/>
      </c>
      <c r="Y26">
        <f>HYPERLINK("https://klasma.github.io/Logging_1486/klagomål/A 24514-2024 FSC-klagomål.docx", "A 24514-2024")</f>
        <v/>
      </c>
      <c r="Z26">
        <f>HYPERLINK("https://klasma.github.io/Logging_1486/klagomålsmail/A 24514-2024 FSC-klagomål mail.docx", "A 24514-2024")</f>
        <v/>
      </c>
      <c r="AA26">
        <f>HYPERLINK("https://klasma.github.io/Logging_1486/tillsyn/A 24514-2024 tillsynsbegäran.docx", "A 24514-2024")</f>
        <v/>
      </c>
      <c r="AB26">
        <f>HYPERLINK("https://klasma.github.io/Logging_1486/tillsynsmail/A 24514-2024 tillsynsbegäran mail.docx", "A 24514-2024")</f>
        <v/>
      </c>
    </row>
    <row r="27" ht="15" customHeight="1">
      <c r="A27" t="inlineStr">
        <is>
          <t>A 14442-2026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46100</v>
      </c>
      <c r="E27" s="1" t="n">
        <v>46220</v>
      </c>
      <c r="F27" t="inlineStr">
        <is>
          <t>VÄSTRA GÖTALANDS LÄN</t>
        </is>
      </c>
      <c r="G27" t="inlineStr">
        <is>
          <t>STRÖMSTAD</t>
        </is>
      </c>
      <c r="I27" t="n">
        <v>1.9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Hasselsnok</t>
        </is>
      </c>
      <c r="V27">
        <f>HYPERLINK("https://klasma.github.io/Logging_1486/artfynd/A 14442-2026 artfynd.xlsx", "A 14442-2026")</f>
        <v/>
      </c>
      <c r="W27">
        <f>HYPERLINK("https://klasma.github.io/Logging_1486/kartor/A 14442-2026 karta.png", "A 14442-2026")</f>
        <v/>
      </c>
      <c r="Y27">
        <f>HYPERLINK("https://klasma.github.io/Logging_1486/klagomål/A 14442-2026 FSC-klagomål.docx", "A 14442-2026")</f>
        <v/>
      </c>
      <c r="Z27">
        <f>HYPERLINK("https://klasma.github.io/Logging_1486/klagomålsmail/A 14442-2026 FSC-klagomål mail.docx", "A 14442-2026")</f>
        <v/>
      </c>
      <c r="AA27">
        <f>HYPERLINK("https://klasma.github.io/Logging_1486/tillsyn/A 14442-2026 tillsynsbegäran.docx", "A 14442-2026")</f>
        <v/>
      </c>
      <c r="AB27">
        <f>HYPERLINK("https://klasma.github.io/Logging_1486/tillsynsmail/A 14442-2026 tillsynsbegäran mail.docx", "A 14442-2026")</f>
        <v/>
      </c>
    </row>
    <row r="28" ht="15" customHeight="1">
      <c r="A28" t="inlineStr">
        <is>
          <t>A 14455-2026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46220</v>
      </c>
      <c r="F28" t="inlineStr">
        <is>
          <t>VÄSTRA GÖTALANDS LÄN</t>
        </is>
      </c>
      <c r="G28" t="inlineStr">
        <is>
          <t>STRÖMSTAD</t>
        </is>
      </c>
      <c r="I28" t="n">
        <v>8.199999999999999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Revlummer</t>
        </is>
      </c>
      <c r="V28">
        <f>HYPERLINK("https://klasma.github.io/Logging_1486/artfynd/A 14455-2026 artfynd.xlsx", "A 14455-2026")</f>
        <v/>
      </c>
      <c r="W28">
        <f>HYPERLINK("https://klasma.github.io/Logging_1486/kartor/A 14455-2026 karta.png", "A 14455-2026")</f>
        <v/>
      </c>
      <c r="Y28">
        <f>HYPERLINK("https://klasma.github.io/Logging_1486/klagomål/A 14455-2026 FSC-klagomål.docx", "A 14455-2026")</f>
        <v/>
      </c>
      <c r="Z28">
        <f>HYPERLINK("https://klasma.github.io/Logging_1486/klagomålsmail/A 14455-2026 FSC-klagomål mail.docx", "A 14455-2026")</f>
        <v/>
      </c>
      <c r="AA28">
        <f>HYPERLINK("https://klasma.github.io/Logging_1486/tillsyn/A 14455-2026 tillsynsbegäran.docx", "A 14455-2026")</f>
        <v/>
      </c>
      <c r="AB28">
        <f>HYPERLINK("https://klasma.github.io/Logging_1486/tillsynsmail/A 14455-2026 tillsynsbegäran mail.docx", "A 14455-2026")</f>
        <v/>
      </c>
    </row>
    <row r="29" ht="15" customHeight="1">
      <c r="A29" t="inlineStr">
        <is>
          <t>A 6128-2026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46054</v>
      </c>
      <c r="E29" s="1" t="n">
        <v>46220</v>
      </c>
      <c r="F29" t="inlineStr">
        <is>
          <t>VÄSTRA GÖTALANDS LÄN</t>
        </is>
      </c>
      <c r="G29" t="inlineStr">
        <is>
          <t>STRÖMSTAD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Blåsippa</t>
        </is>
      </c>
      <c r="V29">
        <f>HYPERLINK("https://klasma.github.io/Logging_1486/artfynd/A 6128-2026 artfynd.xlsx", "A 6128-2026")</f>
        <v/>
      </c>
      <c r="W29">
        <f>HYPERLINK("https://klasma.github.io/Logging_1486/kartor/A 6128-2026 karta.png", "A 6128-2026")</f>
        <v/>
      </c>
      <c r="Y29">
        <f>HYPERLINK("https://klasma.github.io/Logging_1486/klagomål/A 6128-2026 FSC-klagomål.docx", "A 6128-2026")</f>
        <v/>
      </c>
      <c r="Z29">
        <f>HYPERLINK("https://klasma.github.io/Logging_1486/klagomålsmail/A 6128-2026 FSC-klagomål mail.docx", "A 6128-2026")</f>
        <v/>
      </c>
      <c r="AA29">
        <f>HYPERLINK("https://klasma.github.io/Logging_1486/tillsyn/A 6128-2026 tillsynsbegäran.docx", "A 6128-2026")</f>
        <v/>
      </c>
      <c r="AB29">
        <f>HYPERLINK("https://klasma.github.io/Logging_1486/tillsynsmail/A 6128-2026 tillsynsbegäran mail.docx", "A 6128-2026")</f>
        <v/>
      </c>
    </row>
    <row r="30" ht="15" customHeight="1">
      <c r="A30" t="inlineStr">
        <is>
          <t>A 12779-2025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46220</v>
      </c>
      <c r="F30" t="inlineStr">
        <is>
          <t>VÄSTRA GÖTALANDS LÄN</t>
        </is>
      </c>
      <c r="G30" t="inlineStr">
        <is>
          <t>STRÖMSTAD</t>
        </is>
      </c>
      <c r="I30" t="n">
        <v>10.1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Spillkråka</t>
        </is>
      </c>
      <c r="V30">
        <f>HYPERLINK("https://klasma.github.io/Logging_1486/artfynd/A 12779-2025 artfynd.xlsx", "A 12779-2025")</f>
        <v/>
      </c>
      <c r="W30">
        <f>HYPERLINK("https://klasma.github.io/Logging_1486/kartor/A 12779-2025 karta.png", "A 12779-2025")</f>
        <v/>
      </c>
      <c r="Y30">
        <f>HYPERLINK("https://klasma.github.io/Logging_1486/klagomål/A 12779-2025 FSC-klagomål.docx", "A 12779-2025")</f>
        <v/>
      </c>
      <c r="Z30">
        <f>HYPERLINK("https://klasma.github.io/Logging_1486/klagomålsmail/A 12779-2025 FSC-klagomål mail.docx", "A 12779-2025")</f>
        <v/>
      </c>
      <c r="AA30">
        <f>HYPERLINK("https://klasma.github.io/Logging_1486/tillsyn/A 12779-2025 tillsynsbegäran.docx", "A 12779-2025")</f>
        <v/>
      </c>
      <c r="AB30">
        <f>HYPERLINK("https://klasma.github.io/Logging_1486/tillsynsmail/A 12779-2025 tillsynsbegäran mail.docx", "A 12779-2025")</f>
        <v/>
      </c>
      <c r="AC30">
        <f>HYPERLINK("https://klasma.github.io/Logging_1486/fåglar/A 12779-2025 prioriterade fågelarter.docx", "A 12779-2025")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46220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Knärot</t>
        </is>
      </c>
      <c r="V31">
        <f>HYPERLINK("https://klasma.github.io/Logging_1486/artfynd/S 4586-2023 artfynd.xlsx", "S 4586-2023")</f>
        <v/>
      </c>
      <c r="W31">
        <f>HYPERLINK("https://klasma.github.io/Logging_1486/kartor/S 4586-2023 karta.png", "S 4586-2023")</f>
        <v/>
      </c>
      <c r="X31">
        <f>HYPERLINK("https://klasma.github.io/Logging_1486/knärot/S 4586-2023 karta knärot.png", "S 4586-2023")</f>
        <v/>
      </c>
      <c r="Y31">
        <f>HYPERLINK("https://klasma.github.io/Logging_1486/klagomål/S 4586-2023 FSC-klagomål.docx", "S 4586-2023")</f>
        <v/>
      </c>
      <c r="Z31">
        <f>HYPERLINK("https://klasma.github.io/Logging_1486/klagomålsmail/S 4586-2023 FSC-klagomål mail.docx", "S 4586-2023")</f>
        <v/>
      </c>
      <c r="AA31">
        <f>HYPERLINK("https://klasma.github.io/Logging_1486/tillsyn/S 4586-2023 tillsynsbegäran.docx", "S 4586-2023")</f>
        <v/>
      </c>
      <c r="AB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46220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46220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45223-2021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44439</v>
      </c>
      <c r="E34" s="1" t="n">
        <v>46220</v>
      </c>
      <c r="F34" t="inlineStr">
        <is>
          <t>VÄSTRA GÖTALANDS LÄN</t>
        </is>
      </c>
      <c r="G34" t="inlineStr">
        <is>
          <t>STRÖMSTAD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46220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46220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46220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46220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46220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46220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46220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46220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46220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46220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46220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30731-2022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44764</v>
      </c>
      <c r="E46" s="1" t="n">
        <v>46220</v>
      </c>
      <c r="F46" t="inlineStr">
        <is>
          <t>VÄSTRA GÖTALANDS LÄN</t>
        </is>
      </c>
      <c r="G46" t="inlineStr">
        <is>
          <t>STRÖMSTAD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50020-2022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44865</v>
      </c>
      <c r="E47" s="1" t="n">
        <v>46220</v>
      </c>
      <c r="F47" t="inlineStr">
        <is>
          <t>VÄSTRA GÖTALANDS LÄN</t>
        </is>
      </c>
      <c r="G47" t="inlineStr">
        <is>
          <t>STRÖMSTAD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46220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46220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46220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46220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49242-2021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46220</v>
      </c>
      <c r="F52" t="inlineStr">
        <is>
          <t>VÄSTRA GÖTALANDS LÄN</t>
        </is>
      </c>
      <c r="G52" t="inlineStr">
        <is>
          <t>STRÖMSTAD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70164-2021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44533</v>
      </c>
      <c r="E53" s="1" t="n">
        <v>46220</v>
      </c>
      <c r="F53" t="inlineStr">
        <is>
          <t>VÄSTRA GÖTALANDS LÄN</t>
        </is>
      </c>
      <c r="G53" t="inlineStr">
        <is>
          <t>STRÖMSTAD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59917-2021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46220</v>
      </c>
      <c r="F54" t="inlineStr">
        <is>
          <t>VÄSTRA GÖTALANDS LÄN</t>
        </is>
      </c>
      <c r="G54" t="inlineStr">
        <is>
          <t>STRÖMSTAD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46220</v>
      </c>
      <c r="F55" t="inlineStr">
        <is>
          <t>VÄSTRA GÖTALANDS LÄN</t>
        </is>
      </c>
      <c r="G55" t="inlineStr">
        <is>
          <t>STRÖMSTAD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53761-2024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45615</v>
      </c>
      <c r="E56" s="1" t="n">
        <v>46220</v>
      </c>
      <c r="F56" t="inlineStr">
        <is>
          <t>VÄSTRA GÖTALANDS LÄN</t>
        </is>
      </c>
      <c r="G56" t="inlineStr">
        <is>
          <t>STRÖMSTAD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3178-2024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45316</v>
      </c>
      <c r="E57" s="1" t="n">
        <v>46220</v>
      </c>
      <c r="F57" t="inlineStr">
        <is>
          <t>VÄSTRA GÖTALANDS LÄN</t>
        </is>
      </c>
      <c r="G57" t="inlineStr">
        <is>
          <t>STRÖMSTAD</t>
        </is>
      </c>
      <c r="H57" t="inlineStr">
        <is>
          <t>Kommuner</t>
        </is>
      </c>
      <c r="I57" t="n">
        <v>8.6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61626-2024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45646</v>
      </c>
      <c r="E58" s="1" t="n">
        <v>46220</v>
      </c>
      <c r="F58" t="inlineStr">
        <is>
          <t>VÄSTRA GÖTALANDS LÄN</t>
        </is>
      </c>
      <c r="G58" t="inlineStr">
        <is>
          <t>STRÖMSTAD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12945-2024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45385</v>
      </c>
      <c r="E59" s="1" t="n">
        <v>46220</v>
      </c>
      <c r="F59" t="inlineStr">
        <is>
          <t>VÄSTRA GÖTALANDS LÄN</t>
        </is>
      </c>
      <c r="G59" t="inlineStr">
        <is>
          <t>STRÖMSTAD</t>
        </is>
      </c>
      <c r="I59" t="n">
        <v>6.1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52262-2023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45217</v>
      </c>
      <c r="E60" s="1" t="n">
        <v>46220</v>
      </c>
      <c r="F60" t="inlineStr">
        <is>
          <t>VÄSTRA GÖTALANDS LÄN</t>
        </is>
      </c>
      <c r="G60" t="inlineStr">
        <is>
          <t>STRÖMSTAD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16989-2023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45033</v>
      </c>
      <c r="E61" s="1" t="n">
        <v>46220</v>
      </c>
      <c r="F61" t="inlineStr">
        <is>
          <t>VÄSTRA GÖTALANDS LÄN</t>
        </is>
      </c>
      <c r="G61" t="inlineStr">
        <is>
          <t>STRÖMSTAD</t>
        </is>
      </c>
      <c r="H61" t="inlineStr">
        <is>
          <t>Kommuner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10470-2024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45366</v>
      </c>
      <c r="E62" s="1" t="n">
        <v>46220</v>
      </c>
      <c r="F62" t="inlineStr">
        <is>
          <t>VÄSTRA GÖTALANDS LÄN</t>
        </is>
      </c>
      <c r="G62" t="inlineStr">
        <is>
          <t>STRÖMSTAD</t>
        </is>
      </c>
      <c r="I62" t="n">
        <v>4.6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44883-2021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44438</v>
      </c>
      <c r="E63" s="1" t="n">
        <v>46220</v>
      </c>
      <c r="F63" t="inlineStr">
        <is>
          <t>VÄSTRA GÖTALANDS LÄN</t>
        </is>
      </c>
      <c r="G63" t="inlineStr">
        <is>
          <t>STRÖMSTAD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55712-2022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44885</v>
      </c>
      <c r="E64" s="1" t="n">
        <v>46220</v>
      </c>
      <c r="F64" t="inlineStr">
        <is>
          <t>VÄSTRA GÖTALANDS LÄN</t>
        </is>
      </c>
      <c r="G64" t="inlineStr">
        <is>
          <t>STRÖMSTAD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11897-2025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45728</v>
      </c>
      <c r="E65" s="1" t="n">
        <v>46220</v>
      </c>
      <c r="F65" t="inlineStr">
        <is>
          <t>VÄSTRA GÖTALANDS LÄN</t>
        </is>
      </c>
      <c r="G65" t="inlineStr">
        <is>
          <t>STRÖMSTAD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29329-2024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45483</v>
      </c>
      <c r="E66" s="1" t="n">
        <v>46220</v>
      </c>
      <c r="F66" t="inlineStr">
        <is>
          <t>VÄSTRA GÖTALANDS LÄN</t>
        </is>
      </c>
      <c r="G66" t="inlineStr">
        <is>
          <t>STRÖMSTAD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61252-2024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45645</v>
      </c>
      <c r="E67" s="1" t="n">
        <v>46220</v>
      </c>
      <c r="F67" t="inlineStr">
        <is>
          <t>VÄSTRA GÖTALANDS LÄN</t>
        </is>
      </c>
      <c r="G67" t="inlineStr">
        <is>
          <t>STRÖMSTAD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39001-2024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45548</v>
      </c>
      <c r="E68" s="1" t="n">
        <v>46220</v>
      </c>
      <c r="F68" t="inlineStr">
        <is>
          <t>VÄSTRA GÖTALANDS LÄN</t>
        </is>
      </c>
      <c r="G68" t="inlineStr">
        <is>
          <t>STRÖMSTAD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30701-2022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44763</v>
      </c>
      <c r="E69" s="1" t="n">
        <v>46220</v>
      </c>
      <c r="F69" t="inlineStr">
        <is>
          <t>VÄSTRA GÖTALANDS LÄN</t>
        </is>
      </c>
      <c r="G69" t="inlineStr">
        <is>
          <t>STRÖMSTAD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49554-2024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45596</v>
      </c>
      <c r="E70" s="1" t="n">
        <v>46220</v>
      </c>
      <c r="F70" t="inlineStr">
        <is>
          <t>VÄSTRA GÖTALANDS LÄN</t>
        </is>
      </c>
      <c r="G70" t="inlineStr">
        <is>
          <t>STRÖMSTAD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880-2026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46029</v>
      </c>
      <c r="E71" s="1" t="n">
        <v>46220</v>
      </c>
      <c r="F71" t="inlineStr">
        <is>
          <t>VÄSTRA GÖTALANDS LÄN</t>
        </is>
      </c>
      <c r="G71" t="inlineStr">
        <is>
          <t>STRÖMSTAD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26233-2025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45805</v>
      </c>
      <c r="E72" s="1" t="n">
        <v>46220</v>
      </c>
      <c r="F72" t="inlineStr">
        <is>
          <t>VÄSTRA GÖTALANDS LÄN</t>
        </is>
      </c>
      <c r="G72" t="inlineStr">
        <is>
          <t>STRÖMSTAD</t>
        </is>
      </c>
      <c r="H72" t="inlineStr">
        <is>
          <t>Kommuner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1945-2026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46035</v>
      </c>
      <c r="E73" s="1" t="n">
        <v>46220</v>
      </c>
      <c r="F73" t="inlineStr">
        <is>
          <t>VÄSTRA GÖTALANDS LÄN</t>
        </is>
      </c>
      <c r="G73" t="inlineStr">
        <is>
          <t>STRÖMSTAD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26270-2025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45805</v>
      </c>
      <c r="E74" s="1" t="n">
        <v>46220</v>
      </c>
      <c r="F74" t="inlineStr">
        <is>
          <t>VÄSTRA GÖTALANDS LÄN</t>
        </is>
      </c>
      <c r="G74" t="inlineStr">
        <is>
          <t>STRÖMSTAD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52950-2022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44875</v>
      </c>
      <c r="E75" s="1" t="n">
        <v>46220</v>
      </c>
      <c r="F75" t="inlineStr">
        <is>
          <t>VÄSTRA GÖTALANDS LÄN</t>
        </is>
      </c>
      <c r="G75" t="inlineStr">
        <is>
          <t>STRÖMSTAD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40369-2024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45555</v>
      </c>
      <c r="E76" s="1" t="n">
        <v>46220</v>
      </c>
      <c r="F76" t="inlineStr">
        <is>
          <t>VÄSTRA GÖTALANDS LÄN</t>
        </is>
      </c>
      <c r="G76" t="inlineStr">
        <is>
          <t>STRÖMSTAD</t>
        </is>
      </c>
      <c r="I76" t="n">
        <v>14.5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1608-2026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46034</v>
      </c>
      <c r="E77" s="1" t="n">
        <v>46220</v>
      </c>
      <c r="F77" t="inlineStr">
        <is>
          <t>VÄSTRA GÖTALANDS LÄN</t>
        </is>
      </c>
      <c r="G77" t="inlineStr">
        <is>
          <t>STRÖMSTAD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15552-2023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45018</v>
      </c>
      <c r="E78" s="1" t="n">
        <v>46220</v>
      </c>
      <c r="F78" t="inlineStr">
        <is>
          <t>VÄSTRA GÖTALANDS LÄN</t>
        </is>
      </c>
      <c r="G78" t="inlineStr">
        <is>
          <t>STRÖMSTAD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13890-2022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44649</v>
      </c>
      <c r="E79" s="1" t="n">
        <v>46220</v>
      </c>
      <c r="F79" t="inlineStr">
        <is>
          <t>VÄSTRA GÖTALANDS LÄN</t>
        </is>
      </c>
      <c r="G79" t="inlineStr">
        <is>
          <t>STRÖMSTAD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44529-2023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45189</v>
      </c>
      <c r="E80" s="1" t="n">
        <v>46220</v>
      </c>
      <c r="F80" t="inlineStr">
        <is>
          <t>VÄSTRA GÖTALANDS LÄN</t>
        </is>
      </c>
      <c r="G80" t="inlineStr">
        <is>
          <t>STRÖMSTAD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16216-2025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45750</v>
      </c>
      <c r="E81" s="1" t="n">
        <v>46220</v>
      </c>
      <c r="F81" t="inlineStr">
        <is>
          <t>VÄSTRA GÖTALANDS LÄN</t>
        </is>
      </c>
      <c r="G81" t="inlineStr">
        <is>
          <t>STRÖMSTAD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55733-2023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45232</v>
      </c>
      <c r="E82" s="1" t="n">
        <v>46220</v>
      </c>
      <c r="F82" t="inlineStr">
        <is>
          <t>VÄSTRA GÖTALANDS LÄN</t>
        </is>
      </c>
      <c r="G82" t="inlineStr">
        <is>
          <t>STRÖMSTAD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2322-2026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46036</v>
      </c>
      <c r="E83" s="1" t="n">
        <v>46220</v>
      </c>
      <c r="F83" t="inlineStr">
        <is>
          <t>VÄSTRA GÖTALANDS LÄN</t>
        </is>
      </c>
      <c r="G83" t="inlineStr">
        <is>
          <t>STRÖMSTAD</t>
        </is>
      </c>
      <c r="I83" t="n">
        <v>5.5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2324-2026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46036</v>
      </c>
      <c r="E84" s="1" t="n">
        <v>46220</v>
      </c>
      <c r="F84" t="inlineStr">
        <is>
          <t>VÄSTRA GÖTALANDS LÄN</t>
        </is>
      </c>
      <c r="G84" t="inlineStr">
        <is>
          <t>STRÖMSTAD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44319-2025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45916</v>
      </c>
      <c r="E85" s="1" t="n">
        <v>46220</v>
      </c>
      <c r="F85" t="inlineStr">
        <is>
          <t>VÄSTRA GÖTALANDS LÄN</t>
        </is>
      </c>
      <c r="G85" t="inlineStr">
        <is>
          <t>STRÖMSTAD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52852-2024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45610</v>
      </c>
      <c r="E86" s="1" t="n">
        <v>46220</v>
      </c>
      <c r="F86" t="inlineStr">
        <is>
          <t>VÄSTRA GÖTALANDS LÄN</t>
        </is>
      </c>
      <c r="G86" t="inlineStr">
        <is>
          <t>STRÖMSTAD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25884-2023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45085</v>
      </c>
      <c r="E87" s="1" t="n">
        <v>46220</v>
      </c>
      <c r="F87" t="inlineStr">
        <is>
          <t>VÄSTRA GÖTALANDS LÄN</t>
        </is>
      </c>
      <c r="G87" t="inlineStr">
        <is>
          <t>STRÖMSTAD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33569-2025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45841</v>
      </c>
      <c r="E88" s="1" t="n">
        <v>46220</v>
      </c>
      <c r="F88" t="inlineStr">
        <is>
          <t>VÄSTRA GÖTALANDS LÄN</t>
        </is>
      </c>
      <c r="G88" t="inlineStr">
        <is>
          <t>STRÖMSTAD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33586-2025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45841</v>
      </c>
      <c r="E89" s="1" t="n">
        <v>46220</v>
      </c>
      <c r="F89" t="inlineStr">
        <is>
          <t>VÄSTRA GÖTALANDS LÄN</t>
        </is>
      </c>
      <c r="G89" t="inlineStr">
        <is>
          <t>STRÖMSTAD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33536-2025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45841</v>
      </c>
      <c r="E90" s="1" t="n">
        <v>46220</v>
      </c>
      <c r="F90" t="inlineStr">
        <is>
          <t>VÄSTRA GÖTALANDS LÄN</t>
        </is>
      </c>
      <c r="G90" t="inlineStr">
        <is>
          <t>STRÖMSTAD</t>
        </is>
      </c>
      <c r="I90" t="n">
        <v>6.3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33580-2025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45841</v>
      </c>
      <c r="E91" s="1" t="n">
        <v>46220</v>
      </c>
      <c r="F91" t="inlineStr">
        <is>
          <t>VÄSTRA GÖTALANDS LÄN</t>
        </is>
      </c>
      <c r="G91" t="inlineStr">
        <is>
          <t>STRÖMSTAD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26277-2025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45805</v>
      </c>
      <c r="E92" s="1" t="n">
        <v>46220</v>
      </c>
      <c r="F92" t="inlineStr">
        <is>
          <t>VÄSTRA GÖTALANDS LÄN</t>
        </is>
      </c>
      <c r="G92" t="inlineStr">
        <is>
          <t>STRÖMSTAD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50603-2024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45600</v>
      </c>
      <c r="E93" s="1" t="n">
        <v>46220</v>
      </c>
      <c r="F93" t="inlineStr">
        <is>
          <t>VÄSTRA GÖTALANDS LÄN</t>
        </is>
      </c>
      <c r="G93" t="inlineStr">
        <is>
          <t>STRÖMSTAD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20476-2023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45057</v>
      </c>
      <c r="E94" s="1" t="n">
        <v>46220</v>
      </c>
      <c r="F94" t="inlineStr">
        <is>
          <t>VÄSTRA GÖTALANDS LÄN</t>
        </is>
      </c>
      <c r="G94" t="inlineStr">
        <is>
          <t>STRÖMSTAD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16223-2025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45750</v>
      </c>
      <c r="E95" s="1" t="n">
        <v>46220</v>
      </c>
      <c r="F95" t="inlineStr">
        <is>
          <t>VÄSTRA GÖTALANDS LÄN</t>
        </is>
      </c>
      <c r="G95" t="inlineStr">
        <is>
          <t>STRÖMSTAD</t>
        </is>
      </c>
      <c r="I95" t="n">
        <v>7.2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50401-2021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44459</v>
      </c>
      <c r="E96" s="1" t="n">
        <v>46220</v>
      </c>
      <c r="F96" t="inlineStr">
        <is>
          <t>VÄSTRA GÖTALANDS LÄN</t>
        </is>
      </c>
      <c r="G96" t="inlineStr">
        <is>
          <t>STRÖMSTAD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56024-2023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45240</v>
      </c>
      <c r="E97" s="1" t="n">
        <v>46220</v>
      </c>
      <c r="F97" t="inlineStr">
        <is>
          <t>VÄSTRA GÖTALANDS LÄN</t>
        </is>
      </c>
      <c r="G97" t="inlineStr">
        <is>
          <t>STRÖMSTAD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50626-2025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45945</v>
      </c>
      <c r="E98" s="1" t="n">
        <v>46220</v>
      </c>
      <c r="F98" t="inlineStr">
        <is>
          <t>VÄSTRA GÖTALANDS LÄN</t>
        </is>
      </c>
      <c r="G98" t="inlineStr">
        <is>
          <t>STRÖMSTAD</t>
        </is>
      </c>
      <c r="H98" t="inlineStr">
        <is>
          <t>Övriga Aktiebolag</t>
        </is>
      </c>
      <c r="I98" t="n">
        <v>14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50606-2025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45945</v>
      </c>
      <c r="E99" s="1" t="n">
        <v>46220</v>
      </c>
      <c r="F99" t="inlineStr">
        <is>
          <t>VÄSTRA GÖTALANDS LÄN</t>
        </is>
      </c>
      <c r="G99" t="inlineStr">
        <is>
          <t>STRÖMSTAD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50578-2025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45945</v>
      </c>
      <c r="E100" s="1" t="n">
        <v>46220</v>
      </c>
      <c r="F100" t="inlineStr">
        <is>
          <t>VÄSTRA GÖTALANDS LÄN</t>
        </is>
      </c>
      <c r="G100" t="inlineStr">
        <is>
          <t>STRÖMSTAD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17525-2025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45757</v>
      </c>
      <c r="E101" s="1" t="n">
        <v>46220</v>
      </c>
      <c r="F101" t="inlineStr">
        <is>
          <t>VÄSTRA GÖTALANDS LÄN</t>
        </is>
      </c>
      <c r="G101" t="inlineStr">
        <is>
          <t>STRÖMSTAD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50601-2024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45600</v>
      </c>
      <c r="E102" s="1" t="n">
        <v>46220</v>
      </c>
      <c r="F102" t="inlineStr">
        <is>
          <t>VÄSTRA GÖTALANDS LÄN</t>
        </is>
      </c>
      <c r="G102" t="inlineStr">
        <is>
          <t>STRÖMSTAD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50797-2025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45946</v>
      </c>
      <c r="E103" s="1" t="n">
        <v>46220</v>
      </c>
      <c r="F103" t="inlineStr">
        <is>
          <t>VÄSTRA GÖTALANDS LÄN</t>
        </is>
      </c>
      <c r="G103" t="inlineStr">
        <is>
          <t>STRÖMSTAD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41991-2022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44830</v>
      </c>
      <c r="E104" s="1" t="n">
        <v>46220</v>
      </c>
      <c r="F104" t="inlineStr">
        <is>
          <t>VÄSTRA GÖTALANDS LÄN</t>
        </is>
      </c>
      <c r="G104" t="inlineStr">
        <is>
          <t>STRÖMSTAD</t>
        </is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3187-2024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45316</v>
      </c>
      <c r="E105" s="1" t="n">
        <v>46220</v>
      </c>
      <c r="F105" t="inlineStr">
        <is>
          <t>VÄSTRA GÖTALANDS LÄN</t>
        </is>
      </c>
      <c r="G105" t="inlineStr">
        <is>
          <t>STRÖMSTAD</t>
        </is>
      </c>
      <c r="H105" t="inlineStr">
        <is>
          <t>Kommuner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6379-2026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46055</v>
      </c>
      <c r="E106" s="1" t="n">
        <v>46220</v>
      </c>
      <c r="F106" t="inlineStr">
        <is>
          <t>VÄSTRA GÖTALANDS LÄN</t>
        </is>
      </c>
      <c r="G106" t="inlineStr">
        <is>
          <t>STRÖMSTAD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54126-2025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45964</v>
      </c>
      <c r="E107" s="1" t="n">
        <v>46220</v>
      </c>
      <c r="F107" t="inlineStr">
        <is>
          <t>VÄSTRA GÖTALANDS LÄN</t>
        </is>
      </c>
      <c r="G107" t="inlineStr">
        <is>
          <t>STRÖMSTAD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46371-2022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44848</v>
      </c>
      <c r="E108" s="1" t="n">
        <v>46220</v>
      </c>
      <c r="F108" t="inlineStr">
        <is>
          <t>VÄSTRA GÖTALANDS LÄN</t>
        </is>
      </c>
      <c r="G108" t="inlineStr">
        <is>
          <t>STRÖMSTAD</t>
        </is>
      </c>
      <c r="H108" t="inlineStr">
        <is>
          <t>Kommuner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59383-2024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45638</v>
      </c>
      <c r="E109" s="1" t="n">
        <v>46220</v>
      </c>
      <c r="F109" t="inlineStr">
        <is>
          <t>VÄSTRA GÖTALANDS LÄN</t>
        </is>
      </c>
      <c r="G109" t="inlineStr">
        <is>
          <t>STRÖMSTAD</t>
        </is>
      </c>
      <c r="H109" t="inlineStr">
        <is>
          <t>Kommuner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33745-2023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45133</v>
      </c>
      <c r="E110" s="1" t="n">
        <v>46220</v>
      </c>
      <c r="F110" t="inlineStr">
        <is>
          <t>VÄSTRA GÖTALANDS LÄN</t>
        </is>
      </c>
      <c r="G110" t="inlineStr">
        <is>
          <t>STRÖMSTAD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55830-2025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45972</v>
      </c>
      <c r="E111" s="1" t="n">
        <v>46220</v>
      </c>
      <c r="F111" t="inlineStr">
        <is>
          <t>VÄSTRA GÖTALANDS LÄN</t>
        </is>
      </c>
      <c r="G111" t="inlineStr">
        <is>
          <t>STRÖMSTAD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7545-2026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46059</v>
      </c>
      <c r="E112" s="1" t="n">
        <v>46220</v>
      </c>
      <c r="F112" t="inlineStr">
        <is>
          <t>VÄSTRA GÖTALANDS LÄN</t>
        </is>
      </c>
      <c r="G112" t="inlineStr">
        <is>
          <t>STRÖMSTAD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5326-2024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45331</v>
      </c>
      <c r="E113" s="1" t="n">
        <v>46220</v>
      </c>
      <c r="F113" t="inlineStr">
        <is>
          <t>VÄSTRA GÖTALANDS LÄN</t>
        </is>
      </c>
      <c r="G113" t="inlineStr">
        <is>
          <t>STRÖMSTAD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7466-2026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46059</v>
      </c>
      <c r="E114" s="1" t="n">
        <v>46220</v>
      </c>
      <c r="F114" t="inlineStr">
        <is>
          <t>VÄSTRA GÖTALANDS LÄN</t>
        </is>
      </c>
      <c r="G114" t="inlineStr">
        <is>
          <t>STRÖMSTAD</t>
        </is>
      </c>
      <c r="H114" t="inlineStr">
        <is>
          <t>Kommuner</t>
        </is>
      </c>
      <c r="I114" t="n">
        <v>6.4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58226-2025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45985</v>
      </c>
      <c r="E115" s="1" t="n">
        <v>46220</v>
      </c>
      <c r="F115" t="inlineStr">
        <is>
          <t>VÄSTRA GÖTALANDS LÄN</t>
        </is>
      </c>
      <c r="G115" t="inlineStr">
        <is>
          <t>STRÖMSTAD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8051-2026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46063</v>
      </c>
      <c r="E116" s="1" t="n">
        <v>46220</v>
      </c>
      <c r="F116" t="inlineStr">
        <is>
          <t>VÄSTRA GÖTALANDS LÄN</t>
        </is>
      </c>
      <c r="G116" t="inlineStr">
        <is>
          <t>STRÖMSTAD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8058-2026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46063</v>
      </c>
      <c r="E117" s="1" t="n">
        <v>46220</v>
      </c>
      <c r="F117" t="inlineStr">
        <is>
          <t>VÄSTRA GÖTALANDS LÄN</t>
        </is>
      </c>
      <c r="G117" t="inlineStr">
        <is>
          <t>STRÖMSTAD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8060-2026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46063</v>
      </c>
      <c r="E118" s="1" t="n">
        <v>46220</v>
      </c>
      <c r="F118" t="inlineStr">
        <is>
          <t>VÄSTRA GÖTALANDS LÄN</t>
        </is>
      </c>
      <c r="G118" t="inlineStr">
        <is>
          <t>STRÖMSTAD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2982-2025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45678</v>
      </c>
      <c r="E119" s="1" t="n">
        <v>46220</v>
      </c>
      <c r="F119" t="inlineStr">
        <is>
          <t>VÄSTRA GÖTALANDS LÄN</t>
        </is>
      </c>
      <c r="G119" t="inlineStr">
        <is>
          <t>STRÖMSTAD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60768-2022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44907</v>
      </c>
      <c r="E120" s="1" t="n">
        <v>46220</v>
      </c>
      <c r="F120" t="inlineStr">
        <is>
          <t>VÄSTRA GÖTALANDS LÄN</t>
        </is>
      </c>
      <c r="G120" t="inlineStr">
        <is>
          <t>STRÖMSTAD</t>
        </is>
      </c>
      <c r="I120" t="n">
        <v>10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20888-2022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44701</v>
      </c>
      <c r="E121" s="1" t="n">
        <v>46220</v>
      </c>
      <c r="F121" t="inlineStr">
        <is>
          <t>VÄSTRA GÖTALANDS LÄN</t>
        </is>
      </c>
      <c r="G121" t="inlineStr">
        <is>
          <t>STRÖMSTAD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57663-2025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45981</v>
      </c>
      <c r="E122" s="1" t="n">
        <v>46220</v>
      </c>
      <c r="F122" t="inlineStr">
        <is>
          <t>VÄSTRA GÖTALANDS LÄN</t>
        </is>
      </c>
      <c r="G122" t="inlineStr">
        <is>
          <t>STRÖMSTAD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61898-2025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46003</v>
      </c>
      <c r="E123" s="1" t="n">
        <v>46220</v>
      </c>
      <c r="F123" t="inlineStr">
        <is>
          <t>VÄSTRA GÖTALANDS LÄN</t>
        </is>
      </c>
      <c r="G123" t="inlineStr">
        <is>
          <t>STRÖMSTAD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45617-2024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45579</v>
      </c>
      <c r="E124" s="1" t="n">
        <v>46220</v>
      </c>
      <c r="F124" t="inlineStr">
        <is>
          <t>VÄSTRA GÖTALANDS LÄN</t>
        </is>
      </c>
      <c r="G124" t="inlineStr">
        <is>
          <t>STRÖMSTAD</t>
        </is>
      </c>
      <c r="I124" t="n">
        <v>5.3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10850-2026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46078</v>
      </c>
      <c r="E125" s="1" t="n">
        <v>46220</v>
      </c>
      <c r="F125" t="inlineStr">
        <is>
          <t>VÄSTRA GÖTALANDS LÄN</t>
        </is>
      </c>
      <c r="G125" t="inlineStr">
        <is>
          <t>STRÖMSTAD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9983-2022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44621</v>
      </c>
      <c r="E126" s="1" t="n">
        <v>46220</v>
      </c>
      <c r="F126" t="inlineStr">
        <is>
          <t>VÄSTRA GÖTALANDS LÄN</t>
        </is>
      </c>
      <c r="G126" t="inlineStr">
        <is>
          <t>STRÖMSTAD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33131-2023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45126</v>
      </c>
      <c r="E127" s="1" t="n">
        <v>46220</v>
      </c>
      <c r="F127" t="inlineStr">
        <is>
          <t>VÄSTRA GÖTALANDS LÄN</t>
        </is>
      </c>
      <c r="G127" t="inlineStr">
        <is>
          <t>STRÖMSTAD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31388-2022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44774</v>
      </c>
      <c r="E128" s="1" t="n">
        <v>46220</v>
      </c>
      <c r="F128" t="inlineStr">
        <is>
          <t>VÄSTRA GÖTALANDS LÄN</t>
        </is>
      </c>
      <c r="G128" t="inlineStr">
        <is>
          <t>STRÖMSTAD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29195-2024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45482</v>
      </c>
      <c r="E129" s="1" t="n">
        <v>46220</v>
      </c>
      <c r="F129" t="inlineStr">
        <is>
          <t>VÄSTRA GÖTALANDS LÄN</t>
        </is>
      </c>
      <c r="G129" t="inlineStr">
        <is>
          <t>STRÖMSTAD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994-2024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45301</v>
      </c>
      <c r="E130" s="1" t="n">
        <v>46220</v>
      </c>
      <c r="F130" t="inlineStr">
        <is>
          <t>VÄSTRA GÖTALANDS LÄN</t>
        </is>
      </c>
      <c r="G130" t="inlineStr">
        <is>
          <t>STRÖMSTAD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44408-2021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44435</v>
      </c>
      <c r="E131" s="1" t="n">
        <v>46220</v>
      </c>
      <c r="F131" t="inlineStr">
        <is>
          <t>VÄSTRA GÖTALANDS LÄN</t>
        </is>
      </c>
      <c r="G131" t="inlineStr">
        <is>
          <t>STRÖMSTAD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14465-2026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46100</v>
      </c>
      <c r="E132" s="1" t="n">
        <v>46220</v>
      </c>
      <c r="F132" t="inlineStr">
        <is>
          <t>VÄSTRA GÖTALANDS LÄN</t>
        </is>
      </c>
      <c r="G132" t="inlineStr">
        <is>
          <t>STRÖMSTAD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14440-2026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46100</v>
      </c>
      <c r="E133" s="1" t="n">
        <v>46220</v>
      </c>
      <c r="F133" t="inlineStr">
        <is>
          <t>VÄSTRA GÖTALANDS LÄN</t>
        </is>
      </c>
      <c r="G133" t="inlineStr">
        <is>
          <t>STRÖMSTAD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14456-2026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46100</v>
      </c>
      <c r="E134" s="1" t="n">
        <v>46220</v>
      </c>
      <c r="F134" t="inlineStr">
        <is>
          <t>VÄSTRA GÖTALANDS LÄN</t>
        </is>
      </c>
      <c r="G134" t="inlineStr">
        <is>
          <t>STRÖMSTAD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14462-2026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46100</v>
      </c>
      <c r="E135" s="1" t="n">
        <v>46220</v>
      </c>
      <c r="F135" t="inlineStr">
        <is>
          <t>VÄSTRA GÖTALANDS LÄN</t>
        </is>
      </c>
      <c r="G135" t="inlineStr">
        <is>
          <t>STRÖMSTAD</t>
        </is>
      </c>
      <c r="I135" t="n">
        <v>6.8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10457-2023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44987</v>
      </c>
      <c r="E136" s="1" t="n">
        <v>46220</v>
      </c>
      <c r="F136" t="inlineStr">
        <is>
          <t>VÄSTRA GÖTALANDS LÄN</t>
        </is>
      </c>
      <c r="G136" t="inlineStr">
        <is>
          <t>STRÖMSTAD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50034-2022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44865</v>
      </c>
      <c r="E137" s="1" t="n">
        <v>46220</v>
      </c>
      <c r="F137" t="inlineStr">
        <is>
          <t>VÄSTRA GÖTALANDS LÄN</t>
        </is>
      </c>
      <c r="G137" t="inlineStr">
        <is>
          <t>STRÖMSTAD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14437-2026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46100</v>
      </c>
      <c r="E138" s="1" t="n">
        <v>46220</v>
      </c>
      <c r="F138" t="inlineStr">
        <is>
          <t>VÄSTRA GÖTALANDS LÄN</t>
        </is>
      </c>
      <c r="G138" t="inlineStr">
        <is>
          <t>STRÖMSTAD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57768-2022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44892</v>
      </c>
      <c r="E139" s="1" t="n">
        <v>46220</v>
      </c>
      <c r="F139" t="inlineStr">
        <is>
          <t>VÄSTRA GÖTALANDS LÄN</t>
        </is>
      </c>
      <c r="G139" t="inlineStr">
        <is>
          <t>STRÖMSTAD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16363-2024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45407</v>
      </c>
      <c r="E140" s="1" t="n">
        <v>46220</v>
      </c>
      <c r="F140" t="inlineStr">
        <is>
          <t>VÄSTRA GÖTALANDS LÄN</t>
        </is>
      </c>
      <c r="G140" t="inlineStr">
        <is>
          <t>STRÖMSTAD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15704-2025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45748</v>
      </c>
      <c r="E141" s="1" t="n">
        <v>46220</v>
      </c>
      <c r="F141" t="inlineStr">
        <is>
          <t>VÄSTRA GÖTALANDS LÄN</t>
        </is>
      </c>
      <c r="G141" t="inlineStr">
        <is>
          <t>STRÖMSTAD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72625-2021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44546</v>
      </c>
      <c r="E142" s="1" t="n">
        <v>46220</v>
      </c>
      <c r="F142" t="inlineStr">
        <is>
          <t>VÄSTRA GÖTALANDS LÄN</t>
        </is>
      </c>
      <c r="G142" t="inlineStr">
        <is>
          <t>STRÖMSTAD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19134-2025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45764</v>
      </c>
      <c r="E143" s="1" t="n">
        <v>46220</v>
      </c>
      <c r="F143" t="inlineStr">
        <is>
          <t>VÄSTRA GÖTALANDS LÄN</t>
        </is>
      </c>
      <c r="G143" t="inlineStr">
        <is>
          <t>STRÖMSTAD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14833-2026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46103</v>
      </c>
      <c r="E144" s="1" t="n">
        <v>46220</v>
      </c>
      <c r="F144" t="inlineStr">
        <is>
          <t>VÄSTRA GÖTALANDS LÄN</t>
        </is>
      </c>
      <c r="G144" t="inlineStr">
        <is>
          <t>STRÖMSTAD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33118-2023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45126</v>
      </c>
      <c r="E145" s="1" t="n">
        <v>46220</v>
      </c>
      <c r="F145" t="inlineStr">
        <is>
          <t>VÄSTRA GÖTALANDS LÄN</t>
        </is>
      </c>
      <c r="G145" t="inlineStr">
        <is>
          <t>STRÖMSTAD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38988-2024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45548</v>
      </c>
      <c r="E146" s="1" t="n">
        <v>46220</v>
      </c>
      <c r="F146" t="inlineStr">
        <is>
          <t>VÄSTRA GÖTALANDS LÄN</t>
        </is>
      </c>
      <c r="G146" t="inlineStr">
        <is>
          <t>STRÖMSTAD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60220-2022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44903</v>
      </c>
      <c r="E147" s="1" t="n">
        <v>46220</v>
      </c>
      <c r="F147" t="inlineStr">
        <is>
          <t>VÄSTRA GÖTALANDS LÄN</t>
        </is>
      </c>
      <c r="G147" t="inlineStr">
        <is>
          <t>STRÖMSTAD</t>
        </is>
      </c>
      <c r="I147" t="n">
        <v>8.300000000000001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11891-2025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45728</v>
      </c>
      <c r="E148" s="1" t="n">
        <v>46220</v>
      </c>
      <c r="F148" t="inlineStr">
        <is>
          <t>VÄSTRA GÖTALANDS LÄN</t>
        </is>
      </c>
      <c r="G148" t="inlineStr">
        <is>
          <t>STRÖMSTAD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15559-2023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45019</v>
      </c>
      <c r="E149" s="1" t="n">
        <v>46220</v>
      </c>
      <c r="F149" t="inlineStr">
        <is>
          <t>VÄSTRA GÖTALANDS LÄN</t>
        </is>
      </c>
      <c r="G149" t="inlineStr">
        <is>
          <t>STRÖMSTAD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54007-2024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45615</v>
      </c>
      <c r="E150" s="1" t="n">
        <v>46220</v>
      </c>
      <c r="F150" t="inlineStr">
        <is>
          <t>VÄSTRA GÖTALANDS LÄN</t>
        </is>
      </c>
      <c r="G150" t="inlineStr">
        <is>
          <t>STRÖMSTAD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31917-2025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45834</v>
      </c>
      <c r="E151" s="1" t="n">
        <v>46220</v>
      </c>
      <c r="F151" t="inlineStr">
        <is>
          <t>VÄSTRA GÖTALANDS LÄN</t>
        </is>
      </c>
      <c r="G151" t="inlineStr">
        <is>
          <t>STRÖMSTAD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33747-2023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45133</v>
      </c>
      <c r="E152" s="1" t="n">
        <v>46220</v>
      </c>
      <c r="F152" t="inlineStr">
        <is>
          <t>VÄSTRA GÖTALANDS LÄN</t>
        </is>
      </c>
      <c r="G152" t="inlineStr">
        <is>
          <t>STRÖMSTAD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29308-2025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45824</v>
      </c>
      <c r="E153" s="1" t="n">
        <v>46220</v>
      </c>
      <c r="F153" t="inlineStr">
        <is>
          <t>VÄSTRA GÖTALANDS LÄN</t>
        </is>
      </c>
      <c r="G153" t="inlineStr">
        <is>
          <t>STRÖMSTAD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33559-2025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45841</v>
      </c>
      <c r="E154" s="1" t="n">
        <v>46220</v>
      </c>
      <c r="F154" t="inlineStr">
        <is>
          <t>VÄSTRA GÖTALANDS LÄN</t>
        </is>
      </c>
      <c r="G154" t="inlineStr">
        <is>
          <t>STRÖMSTAD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48688-2025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45936</v>
      </c>
      <c r="E155" s="1" t="n">
        <v>46220</v>
      </c>
      <c r="F155" t="inlineStr">
        <is>
          <t>VÄSTRA GÖTALANDS LÄN</t>
        </is>
      </c>
      <c r="G155" t="inlineStr">
        <is>
          <t>STRÖMSTAD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44523-2023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45189</v>
      </c>
      <c r="E156" s="1" t="n">
        <v>46220</v>
      </c>
      <c r="F156" t="inlineStr">
        <is>
          <t>VÄSTRA GÖTALANDS LÄN</t>
        </is>
      </c>
      <c r="G156" t="inlineStr">
        <is>
          <t>STRÖMSTAD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8047-2024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45351</v>
      </c>
      <c r="E157" s="1" t="n">
        <v>46220</v>
      </c>
      <c r="F157" t="inlineStr">
        <is>
          <t>VÄSTRA GÖTALANDS LÄN</t>
        </is>
      </c>
      <c r="G157" t="inlineStr">
        <is>
          <t>STRÖMSTAD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13109-2023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45002</v>
      </c>
      <c r="E158" s="1" t="n">
        <v>46220</v>
      </c>
      <c r="F158" t="inlineStr">
        <is>
          <t>VÄSTRA GÖTALANDS LÄN</t>
        </is>
      </c>
      <c r="G158" t="inlineStr">
        <is>
          <t>STRÖMSTAD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21333-2024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45440</v>
      </c>
      <c r="E159" s="1" t="n">
        <v>46220</v>
      </c>
      <c r="F159" t="inlineStr">
        <is>
          <t>VÄSTRA GÖTALANDS LÄN</t>
        </is>
      </c>
      <c r="G159" t="inlineStr">
        <is>
          <t>STRÖMSTAD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29300-2025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45824</v>
      </c>
      <c r="E160" s="1" t="n">
        <v>46220</v>
      </c>
      <c r="F160" t="inlineStr">
        <is>
          <t>VÄSTRA GÖTALANDS LÄN</t>
        </is>
      </c>
      <c r="G160" t="inlineStr">
        <is>
          <t>STRÖMSTAD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37311-2025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45876</v>
      </c>
      <c r="E161" s="1" t="n">
        <v>46220</v>
      </c>
      <c r="F161" t="inlineStr">
        <is>
          <t>VÄSTRA GÖTALANDS LÄN</t>
        </is>
      </c>
      <c r="G161" t="inlineStr">
        <is>
          <t>STRÖMSTAD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29192-2024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45482</v>
      </c>
      <c r="E162" s="1" t="n">
        <v>46220</v>
      </c>
      <c r="F162" t="inlineStr">
        <is>
          <t>VÄSTRA GÖTALANDS LÄN</t>
        </is>
      </c>
      <c r="G162" t="inlineStr">
        <is>
          <t>STRÖMSTAD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56196-2025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45974</v>
      </c>
      <c r="E163" s="1" t="n">
        <v>46220</v>
      </c>
      <c r="F163" t="inlineStr">
        <is>
          <t>VÄSTRA GÖTALANDS LÄN</t>
        </is>
      </c>
      <c r="G163" t="inlineStr">
        <is>
          <t>STRÖMSTAD</t>
        </is>
      </c>
      <c r="I163" t="n">
        <v>6.3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67875-2021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44525</v>
      </c>
      <c r="E164" s="1" t="n">
        <v>46220</v>
      </c>
      <c r="F164" t="inlineStr">
        <is>
          <t>VÄSTRA GÖTALANDS LÄN</t>
        </is>
      </c>
      <c r="G164" t="inlineStr">
        <is>
          <t>STRÖMSTAD</t>
        </is>
      </c>
      <c r="I164" t="n">
        <v>15.5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26409-2026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46182</v>
      </c>
      <c r="E165" s="1" t="n">
        <v>46220</v>
      </c>
      <c r="F165" t="inlineStr">
        <is>
          <t>VÄSTRA GÖTALANDS LÄN</t>
        </is>
      </c>
      <c r="G165" t="inlineStr">
        <is>
          <t>STRÖMSTAD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21355-2026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46142</v>
      </c>
      <c r="E166" s="1" t="n">
        <v>46220</v>
      </c>
      <c r="F166" t="inlineStr">
        <is>
          <t>VÄSTRA GÖTALANDS LÄN</t>
        </is>
      </c>
      <c r="G166" t="inlineStr">
        <is>
          <t>STRÖMSTAD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38983-2024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45548</v>
      </c>
      <c r="E167" s="1" t="n">
        <v>46220</v>
      </c>
      <c r="F167" t="inlineStr">
        <is>
          <t>VÄSTRA GÖTALANDS LÄN</t>
        </is>
      </c>
      <c r="G167" t="inlineStr">
        <is>
          <t>STRÖMSTAD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29327-2024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45483</v>
      </c>
      <c r="E168" s="1" t="n">
        <v>46220</v>
      </c>
      <c r="F168" t="inlineStr">
        <is>
          <t>VÄSTRA GÖTALANDS LÄN</t>
        </is>
      </c>
      <c r="G168" t="inlineStr">
        <is>
          <t>STRÖMSTAD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21755-2026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46149</v>
      </c>
      <c r="E169" s="1" t="n">
        <v>46220</v>
      </c>
      <c r="F169" t="inlineStr">
        <is>
          <t>VÄSTRA GÖTALANDS LÄN</t>
        </is>
      </c>
      <c r="G169" t="inlineStr">
        <is>
          <t>STRÖMSTAD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21819-2026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46150</v>
      </c>
      <c r="E170" s="1" t="n">
        <v>46220</v>
      </c>
      <c r="F170" t="inlineStr">
        <is>
          <t>VÄSTRA GÖTALANDS LÄN</t>
        </is>
      </c>
      <c r="G170" t="inlineStr">
        <is>
          <t>STRÖMSTAD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21826-2026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46150</v>
      </c>
      <c r="E171" s="1" t="n">
        <v>46220</v>
      </c>
      <c r="F171" t="inlineStr">
        <is>
          <t>VÄSTRA GÖTALANDS LÄN</t>
        </is>
      </c>
      <c r="G171" t="inlineStr">
        <is>
          <t>STRÖMSTAD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56602-2023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45243</v>
      </c>
      <c r="E172" s="1" t="n">
        <v>46220</v>
      </c>
      <c r="F172" t="inlineStr">
        <is>
          <t>VÄSTRA GÖTALANDS LÄN</t>
        </is>
      </c>
      <c r="G172" t="inlineStr">
        <is>
          <t>STRÖMSTAD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21828-2026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46150</v>
      </c>
      <c r="E173" s="1" t="n">
        <v>46220</v>
      </c>
      <c r="F173" t="inlineStr">
        <is>
          <t>VÄSTRA GÖTALANDS LÄN</t>
        </is>
      </c>
      <c r="G173" t="inlineStr">
        <is>
          <t>STRÖMSTAD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21839-2026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46150</v>
      </c>
      <c r="E174" s="1" t="n">
        <v>46220</v>
      </c>
      <c r="F174" t="inlineStr">
        <is>
          <t>VÄSTRA GÖTALANDS LÄN</t>
        </is>
      </c>
      <c r="G174" t="inlineStr">
        <is>
          <t>STRÖMSTAD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21833-2026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46150</v>
      </c>
      <c r="E175" s="1" t="n">
        <v>46220</v>
      </c>
      <c r="F175" t="inlineStr">
        <is>
          <t>VÄSTRA GÖTALANDS LÄN</t>
        </is>
      </c>
      <c r="G175" t="inlineStr">
        <is>
          <t>STRÖMSTAD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41072-2023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45170</v>
      </c>
      <c r="E176" s="1" t="n">
        <v>46220</v>
      </c>
      <c r="F176" t="inlineStr">
        <is>
          <t>VÄSTRA GÖTALANDS LÄN</t>
        </is>
      </c>
      <c r="G176" t="inlineStr">
        <is>
          <t>STRÖMSTAD</t>
        </is>
      </c>
      <c r="I176" t="n">
        <v>7.8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3391-2024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45318</v>
      </c>
      <c r="E177" s="1" t="n">
        <v>46220</v>
      </c>
      <c r="F177" t="inlineStr">
        <is>
          <t>VÄSTRA GÖTALANDS LÄN</t>
        </is>
      </c>
      <c r="G177" t="inlineStr">
        <is>
          <t>STRÖMSTAD</t>
        </is>
      </c>
      <c r="H177" t="inlineStr">
        <is>
          <t>Kommuner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28319-2026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46196</v>
      </c>
      <c r="E178" s="1" t="n">
        <v>46220</v>
      </c>
      <c r="F178" t="inlineStr">
        <is>
          <t>VÄSTRA GÖTALANDS LÄN</t>
        </is>
      </c>
      <c r="G178" t="inlineStr">
        <is>
          <t>STRÖMSTAD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22321-2026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46154</v>
      </c>
      <c r="E179" s="1" t="n">
        <v>46220</v>
      </c>
      <c r="F179" t="inlineStr">
        <is>
          <t>VÄSTRA GÖTALANDS LÄN</t>
        </is>
      </c>
      <c r="G179" t="inlineStr">
        <is>
          <t>STRÖMSTAD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20968-2023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45061</v>
      </c>
      <c r="E180" s="1" t="n">
        <v>46220</v>
      </c>
      <c r="F180" t="inlineStr">
        <is>
          <t>VÄSTRA GÖTALANDS LÄN</t>
        </is>
      </c>
      <c r="G180" t="inlineStr">
        <is>
          <t>STRÖMSTAD</t>
        </is>
      </c>
      <c r="I180" t="n">
        <v>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22320-2026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46154</v>
      </c>
      <c r="E181" s="1" t="n">
        <v>46220</v>
      </c>
      <c r="F181" t="inlineStr">
        <is>
          <t>VÄSTRA GÖTALANDS LÄN</t>
        </is>
      </c>
      <c r="G181" t="inlineStr">
        <is>
          <t>STRÖMSTAD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22693-2026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46156</v>
      </c>
      <c r="E182" s="1" t="n">
        <v>46220</v>
      </c>
      <c r="F182" t="inlineStr">
        <is>
          <t>VÄSTRA GÖTALANDS LÄN</t>
        </is>
      </c>
      <c r="G182" t="inlineStr">
        <is>
          <t>STRÖMSTAD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22560-2023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45071</v>
      </c>
      <c r="E183" s="1" t="n">
        <v>46220</v>
      </c>
      <c r="F183" t="inlineStr">
        <is>
          <t>VÄSTRA GÖTALANDS LÄN</t>
        </is>
      </c>
      <c r="G183" t="inlineStr">
        <is>
          <t>STRÖMSTAD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23027-2026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46161</v>
      </c>
      <c r="E184" s="1" t="n">
        <v>46220</v>
      </c>
      <c r="F184" t="inlineStr">
        <is>
          <t>VÄSTRA GÖTALANDS LÄN</t>
        </is>
      </c>
      <c r="G184" t="inlineStr">
        <is>
          <t>STRÖMSTAD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54792-2023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45236</v>
      </c>
      <c r="E185" s="1" t="n">
        <v>46220</v>
      </c>
      <c r="F185" t="inlineStr">
        <is>
          <t>VÄSTRA GÖTALANDS LÄN</t>
        </is>
      </c>
      <c r="G185" t="inlineStr">
        <is>
          <t>STRÖMSTAD</t>
        </is>
      </c>
      <c r="I185" t="n">
        <v>5.9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45578-2024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45578</v>
      </c>
      <c r="E186" s="1" t="n">
        <v>46220</v>
      </c>
      <c r="F186" t="inlineStr">
        <is>
          <t>VÄSTRA GÖTALANDS LÄN</t>
        </is>
      </c>
      <c r="G186" t="inlineStr">
        <is>
          <t>STRÖMSTAD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29587-2026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46204</v>
      </c>
      <c r="E187" s="1" t="n">
        <v>46220</v>
      </c>
      <c r="F187" t="inlineStr">
        <is>
          <t>VÄSTRA GÖTALANDS LÄN</t>
        </is>
      </c>
      <c r="G187" t="inlineStr">
        <is>
          <t>STRÖMSTAD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61249-2024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45645</v>
      </c>
      <c r="E188" s="1" t="n">
        <v>46220</v>
      </c>
      <c r="F188" t="inlineStr">
        <is>
          <t>VÄSTRA GÖTALANDS LÄN</t>
        </is>
      </c>
      <c r="G188" t="inlineStr">
        <is>
          <t>STRÖMSTAD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38818-2024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45547</v>
      </c>
      <c r="E189" s="1" t="n">
        <v>46220</v>
      </c>
      <c r="F189" t="inlineStr">
        <is>
          <t>VÄSTRA GÖTALANDS LÄN</t>
        </is>
      </c>
      <c r="G189" t="inlineStr">
        <is>
          <t>STRÖMSTAD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45632-2024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45579</v>
      </c>
      <c r="E190" s="1" t="n">
        <v>46220</v>
      </c>
      <c r="F190" t="inlineStr">
        <is>
          <t>VÄSTRA GÖTALANDS LÄN</t>
        </is>
      </c>
      <c r="G190" t="inlineStr">
        <is>
          <t>STRÖMSTAD</t>
        </is>
      </c>
      <c r="H190" t="inlineStr">
        <is>
          <t>Kyrkan</t>
        </is>
      </c>
      <c r="I190" t="n">
        <v>9.5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28586-2025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45819</v>
      </c>
      <c r="E191" s="1" t="n">
        <v>46220</v>
      </c>
      <c r="F191" t="inlineStr">
        <is>
          <t>VÄSTRA GÖTALANDS LÄN</t>
        </is>
      </c>
      <c r="G191" t="inlineStr">
        <is>
          <t>STRÖMSTAD</t>
        </is>
      </c>
      <c r="I191" t="n">
        <v>7.1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7136-2022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44603</v>
      </c>
      <c r="E192" s="1" t="n">
        <v>46220</v>
      </c>
      <c r="F192" t="inlineStr">
        <is>
          <t>VÄSTRA GÖTALANDS LÄN</t>
        </is>
      </c>
      <c r="G192" t="inlineStr">
        <is>
          <t>STRÖMSTAD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24991-2023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45085</v>
      </c>
      <c r="E193" s="1" t="n">
        <v>46220</v>
      </c>
      <c r="F193" t="inlineStr">
        <is>
          <t>VÄSTRA GÖTALANDS LÄN</t>
        </is>
      </c>
      <c r="G193" t="inlineStr">
        <is>
          <t>STRÖMSTAD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989-2024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45301</v>
      </c>
      <c r="E194" s="1" t="n">
        <v>46220</v>
      </c>
      <c r="F194" t="inlineStr">
        <is>
          <t>VÄSTRA GÖTALANDS LÄN</t>
        </is>
      </c>
      <c r="G194" t="inlineStr">
        <is>
          <t>STRÖMSTAD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61250-2024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45645</v>
      </c>
      <c r="E195" s="1" t="n">
        <v>46220</v>
      </c>
      <c r="F195" t="inlineStr">
        <is>
          <t>VÄSTRA GÖTALANDS LÄN</t>
        </is>
      </c>
      <c r="G195" t="inlineStr">
        <is>
          <t>STRÖMSTAD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13325-2022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44645</v>
      </c>
      <c r="E196" s="1" t="n">
        <v>46220</v>
      </c>
      <c r="F196" t="inlineStr">
        <is>
          <t>VÄSTRA GÖTALANDS LÄN</t>
        </is>
      </c>
      <c r="G196" t="inlineStr">
        <is>
          <t>STRÖMSTAD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56677-2023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45243</v>
      </c>
      <c r="E197" s="1" t="n">
        <v>46220</v>
      </c>
      <c r="F197" t="inlineStr">
        <is>
          <t>VÄSTRA GÖTALANDS LÄN</t>
        </is>
      </c>
      <c r="G197" t="inlineStr">
        <is>
          <t>STRÖMSTAD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56130-2022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44886</v>
      </c>
      <c r="E198" s="1" t="n">
        <v>46220</v>
      </c>
      <c r="F198" t="inlineStr">
        <is>
          <t>VÄSTRA GÖTALANDS LÄN</t>
        </is>
      </c>
      <c r="G198" t="inlineStr">
        <is>
          <t>STRÖMSTAD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21061-2022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44704</v>
      </c>
      <c r="E199" s="1" t="n">
        <v>46220</v>
      </c>
      <c r="F199" t="inlineStr">
        <is>
          <t>VÄSTRA GÖTALANDS LÄN</t>
        </is>
      </c>
      <c r="G199" t="inlineStr">
        <is>
          <t>STRÖMSTAD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54374-2022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44879</v>
      </c>
      <c r="E200" s="1" t="n">
        <v>46220</v>
      </c>
      <c r="F200" t="inlineStr">
        <is>
          <t>VÄSTRA GÖTALANDS LÄN</t>
        </is>
      </c>
      <c r="G200" t="inlineStr">
        <is>
          <t>STRÖMSTAD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15695-2025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45748</v>
      </c>
      <c r="E201" s="1" t="n">
        <v>46220</v>
      </c>
      <c r="F201" t="inlineStr">
        <is>
          <t>VÄSTRA GÖTALANDS LÄN</t>
        </is>
      </c>
      <c r="G201" t="inlineStr">
        <is>
          <t>STRÖMSTAD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49551-2024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45596</v>
      </c>
      <c r="E202" s="1" t="n">
        <v>46220</v>
      </c>
      <c r="F202" t="inlineStr">
        <is>
          <t>VÄSTRA GÖTALANDS LÄN</t>
        </is>
      </c>
      <c r="G202" t="inlineStr">
        <is>
          <t>STRÖMSTAD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46532-2024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45582</v>
      </c>
      <c r="E203" s="1" t="n">
        <v>46220</v>
      </c>
      <c r="F203" t="inlineStr">
        <is>
          <t>VÄSTRA GÖTALANDS LÄN</t>
        </is>
      </c>
      <c r="G203" t="inlineStr">
        <is>
          <t>STRÖMSTAD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11931-2025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45728</v>
      </c>
      <c r="E204" s="1" t="n">
        <v>46220</v>
      </c>
      <c r="F204" t="inlineStr">
        <is>
          <t>VÄSTRA GÖTALANDS LÄN</t>
        </is>
      </c>
      <c r="G204" t="inlineStr">
        <is>
          <t>STRÖMSTAD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14087-2025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45739</v>
      </c>
      <c r="E205" s="1" t="n">
        <v>46220</v>
      </c>
      <c r="F205" t="inlineStr">
        <is>
          <t>VÄSTRA GÖTALANDS LÄN</t>
        </is>
      </c>
      <c r="G205" t="inlineStr">
        <is>
          <t>STRÖMSTAD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9695-2025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45716</v>
      </c>
      <c r="E206" s="1" t="n">
        <v>46220</v>
      </c>
      <c r="F206" t="inlineStr">
        <is>
          <t>VÄSTRA GÖTALANDS LÄN</t>
        </is>
      </c>
      <c r="G206" t="inlineStr">
        <is>
          <t>STRÖMSTAD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14079-2025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45739</v>
      </c>
      <c r="E207" s="1" t="n">
        <v>46220</v>
      </c>
      <c r="F207" t="inlineStr">
        <is>
          <t>VÄSTRA GÖTALANDS LÄN</t>
        </is>
      </c>
      <c r="G207" t="inlineStr">
        <is>
          <t>STRÖMSTAD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S 3201-2023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45194</v>
      </c>
      <c r="E208" s="1" t="n">
        <v>46220</v>
      </c>
      <c r="F208" t="inlineStr">
        <is>
          <t>VÄSTRA GÖTALANDS LÄN</t>
        </is>
      </c>
      <c r="G208" t="inlineStr">
        <is>
          <t>STRÖMSTAD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S 4468-2022</t>
        </is>
      </c>
      <c r="B209" t="inlineStr">
        <is>
          <t>samrådsanmälan</t>
        </is>
      </c>
      <c r="C209" t="inlineStr">
        <is>
          <t>Skogsbilväg</t>
        </is>
      </c>
      <c r="D209" s="1" t="n">
        <v>44788</v>
      </c>
      <c r="E209" s="1" t="n">
        <v>46220</v>
      </c>
      <c r="F209" t="inlineStr">
        <is>
          <t>VÄSTRA GÖTALANDS LÄN</t>
        </is>
      </c>
      <c r="G209" t="inlineStr">
        <is>
          <t>STRÖMSTAD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>
      <c r="A210" t="inlineStr">
        <is>
          <t>S 85-2026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46036</v>
      </c>
      <c r="E210" s="1" t="n">
        <v>46220</v>
      </c>
      <c r="F210" t="inlineStr">
        <is>
          <t>VÄSTRA GÖTALANDS LÄN</t>
        </is>
      </c>
      <c r="G210" t="inlineStr">
        <is>
          <t>STRÖMSTAD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2026-07-17T01:41:42Z</dcterms:created>
  <dcterms:modified xmlns:dcterms="http://purl.org/dc/terms/" xmlns:xsi="http://www.w3.org/2001/XMLSchema-instance" xsi:type="dcterms:W3CDTF">2026-07-17T01:41:42Z</dcterms:modified>
</cp:coreProperties>
</file>