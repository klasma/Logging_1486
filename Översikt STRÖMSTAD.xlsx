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46315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46315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46315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46315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46315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46315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46315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46315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46315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46315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46315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46315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46315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46315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46315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46315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46315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46315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46315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46315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46315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6128-2026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46054</v>
      </c>
      <c r="E23" s="1" t="n">
        <v>46315</v>
      </c>
      <c r="F23" t="inlineStr">
        <is>
          <t>VÄSTRA GÖTALANDS LÄN</t>
        </is>
      </c>
      <c r="G23" t="inlineStr">
        <is>
          <t>STRÖMSTAD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HYPERLINK("https://klasma.github.io/Logging_1486/artfynd/A 6128-2026 artfynd.xlsx", "A 6128-2026")</f>
        <v/>
      </c>
      <c r="X23">
        <f>HYPERLINK("https://klasma.github.io/Logging_1486/kartor/A 6128-2026 karta.png", "A 6128-2026")</f>
        <v/>
      </c>
      <c r="Y23">
        <f>HYPERLINK("https://klasma.github.io/Logging_1486/kartor_geotiff/A 6128-2026 georefererad karta.tif", "A 6128-2026")</f>
        <v/>
      </c>
      <c r="AA23">
        <f>HYPERLINK("https://klasma.github.io/Logging_1486/klagomål/A 6128-2026 FSC-klagomål.docx", "A 6128-2026")</f>
        <v/>
      </c>
      <c r="AB23">
        <f>HYPERLINK("https://klasma.github.io/Logging_1486/klagomålsmail/A 6128-2026 FSC-klagomål mail.docx", "A 6128-2026")</f>
        <v/>
      </c>
      <c r="AC23">
        <f>HYPERLINK("https://klasma.github.io/Logging_1486/tillsyn/A 6128-2026 tillsynsbegäran.docx", "A 6128-2026")</f>
        <v/>
      </c>
      <c r="AD23">
        <f>HYPERLINK("https://klasma.github.io/Logging_1486/tillsynsmail/A 6128-2026 tillsynsbegäran mail.docx", "A 6128-2026")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46315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12238-2025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45729</v>
      </c>
      <c r="E25" s="1" t="n">
        <v>46315</v>
      </c>
      <c r="F25" t="inlineStr">
        <is>
          <t>VÄSTRA GÖTALANDS LÄN</t>
        </is>
      </c>
      <c r="G25" t="inlineStr">
        <is>
          <t>STRÖMSTAD</t>
        </is>
      </c>
      <c r="I25" t="n">
        <v>10.6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HYPERLINK("https://klasma.github.io/Logging_1486/artfynd/A 12238-2025 artfynd.xlsx", "A 12238-2025")</f>
        <v/>
      </c>
      <c r="X25">
        <f>HYPERLINK("https://klasma.github.io/Logging_1486/kartor/A 12238-2025 karta.png", "A 12238-2025")</f>
        <v/>
      </c>
      <c r="Y25">
        <f>HYPERLINK("https://klasma.github.io/Logging_1486/kartor_geotiff/A 12238-2025 georefererad karta.tif", "A 12238-2025")</f>
        <v/>
      </c>
      <c r="AA25">
        <f>HYPERLINK("https://klasma.github.io/Logging_1486/klagomål/A 12238-2025 FSC-klagomål.docx", "A 12238-2025")</f>
        <v/>
      </c>
      <c r="AB25">
        <f>HYPERLINK("https://klasma.github.io/Logging_1486/klagomålsmail/A 12238-2025 FSC-klagomål mail.docx", "A 12238-2025")</f>
        <v/>
      </c>
      <c r="AC25">
        <f>HYPERLINK("https://klasma.github.io/Logging_1486/tillsyn/A 12238-2025 tillsynsbegäran.docx", "A 12238-2025")</f>
        <v/>
      </c>
      <c r="AD25">
        <f>HYPERLINK("https://klasma.github.io/Logging_1486/tillsynsmail/A 12238-2025 tillsynsbegäran mail.docx", "A 12238-2025")</f>
        <v/>
      </c>
      <c r="AE25">
        <f>HYPERLINK("https://klasma.github.io/Logging_1486/fåglar/A 12238-2025 prioriterade fågelarter.docx", "A 12238-2025")</f>
        <v/>
      </c>
    </row>
    <row r="26" ht="15" customHeight="1">
      <c r="A26" t="inlineStr">
        <is>
          <t>A 14442-2026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46315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Hasselsnok</t>
        </is>
      </c>
      <c r="W26">
        <f>HYPERLINK("https://klasma.github.io/Logging_1486/artfynd/A 14442-2026 artfynd.xlsx", "A 14442-2026")</f>
        <v/>
      </c>
      <c r="X26">
        <f>HYPERLINK("https://klasma.github.io/Logging_1486/kartor/A 14442-2026 karta.png", "A 14442-2026")</f>
        <v/>
      </c>
      <c r="Y26">
        <f>HYPERLINK("https://klasma.github.io/Logging_1486/kartor_geotiff/A 14442-2026 georefererad karta.tif", "A 14442-2026")</f>
        <v/>
      </c>
      <c r="AA26">
        <f>HYPERLINK("https://klasma.github.io/Logging_1486/klagomål/A 14442-2026 FSC-klagomål.docx", "A 14442-2026")</f>
        <v/>
      </c>
      <c r="AB26">
        <f>HYPERLINK("https://klasma.github.io/Logging_1486/klagomålsmail/A 14442-2026 FSC-klagomål mail.docx", "A 14442-2026")</f>
        <v/>
      </c>
      <c r="AC26">
        <f>HYPERLINK("https://klasma.github.io/Logging_1486/tillsyn/A 14442-2026 tillsynsbegäran.docx", "A 14442-2026")</f>
        <v/>
      </c>
      <c r="AD26">
        <f>HYPERLINK("https://klasma.github.io/Logging_1486/tillsynsmail/A 14442-2026 tillsynsbegäran mail.docx", "A 14442-2026")</f>
        <v/>
      </c>
    </row>
    <row r="27" ht="15" customHeight="1">
      <c r="A27" t="inlineStr">
        <is>
          <t>A 14455-2026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46315</v>
      </c>
      <c r="F27" t="inlineStr">
        <is>
          <t>VÄSTRA GÖTALANDS LÄN</t>
        </is>
      </c>
      <c r="G27" t="inlineStr">
        <is>
          <t>STRÖMSTAD</t>
        </is>
      </c>
      <c r="I27" t="n">
        <v>8.199999999999999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HYPERLINK("https://klasma.github.io/Logging_1486/artfynd/A 14455-2026 artfynd.xlsx", "A 14455-2026")</f>
        <v/>
      </c>
      <c r="X27">
        <f>HYPERLINK("https://klasma.github.io/Logging_1486/kartor/A 14455-2026 karta.png", "A 14455-2026")</f>
        <v/>
      </c>
      <c r="Y27">
        <f>HYPERLINK("https://klasma.github.io/Logging_1486/kartor_geotiff/A 14455-2026 georefererad karta.tif", "A 14455-2026")</f>
        <v/>
      </c>
      <c r="AA27">
        <f>HYPERLINK("https://klasma.github.io/Logging_1486/klagomål/A 14455-2026 FSC-klagomål.docx", "A 14455-2026")</f>
        <v/>
      </c>
      <c r="AB27">
        <f>HYPERLINK("https://klasma.github.io/Logging_1486/klagomålsmail/A 14455-2026 FSC-klagomål mail.docx", "A 14455-2026")</f>
        <v/>
      </c>
      <c r="AC27">
        <f>HYPERLINK("https://klasma.github.io/Logging_1486/tillsyn/A 14455-2026 tillsynsbegäran.docx", "A 14455-2026")</f>
        <v/>
      </c>
      <c r="AD27">
        <f>HYPERLINK("https://klasma.github.io/Logging_1486/tillsynsmail/A 14455-2026 tillsynsbegäran mail.docx", "A 14455-2026")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46315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46315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46315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46315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46315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46315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46315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46315</v>
      </c>
      <c r="F35" t="inlineStr">
        <is>
          <t>VÄSTRA GÖTALANDS LÄN</t>
        </is>
      </c>
      <c r="G35" t="inlineStr">
        <is>
          <t>STRÖMSTAD</t>
        </is>
      </c>
      <c r="I35" t="n">
        <v>9.5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46315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46315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46315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46315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46315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46315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46315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46315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46315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46315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46315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46315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46315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46315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46315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46315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46315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46315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46315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46315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44885</v>
      </c>
      <c r="E56" s="1" t="n">
        <v>46315</v>
      </c>
      <c r="F56" t="inlineStr">
        <is>
          <t>VÄSTRA GÖTALANDS LÄN</t>
        </is>
      </c>
      <c r="G56" t="inlineStr">
        <is>
          <t>STRÖMSTAD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46315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44848</v>
      </c>
      <c r="E58" s="1" t="n">
        <v>46315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46315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46315</v>
      </c>
      <c r="F60" t="inlineStr">
        <is>
          <t>VÄSTRA GÖTALANDS LÄN</t>
        </is>
      </c>
      <c r="G60" t="inlineStr">
        <is>
          <t>STRÖMSTAD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46315</v>
      </c>
      <c r="F61" t="inlineStr">
        <is>
          <t>VÄSTRA GÖTALANDS LÄN</t>
        </is>
      </c>
      <c r="G61" t="inlineStr">
        <is>
          <t>STRÖMSTAD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46315</v>
      </c>
      <c r="F62" t="inlineStr">
        <is>
          <t>VÄSTRA GÖTALANDS LÄN</t>
        </is>
      </c>
      <c r="G62" t="inlineStr">
        <is>
          <t>STRÖMSTAD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46315</v>
      </c>
      <c r="F63" t="inlineStr">
        <is>
          <t>VÄSTRA GÖTALANDS LÄN</t>
        </is>
      </c>
      <c r="G63" t="inlineStr">
        <is>
          <t>STRÖMSTAD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46315</v>
      </c>
      <c r="F64" t="inlineStr">
        <is>
          <t>VÄSTRA GÖTALANDS LÄN</t>
        </is>
      </c>
      <c r="G64" t="inlineStr">
        <is>
          <t>STRÖMSTAD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46315</v>
      </c>
      <c r="F65" t="inlineStr">
        <is>
          <t>VÄSTRA GÖTALANDS LÄN</t>
        </is>
      </c>
      <c r="G65" t="inlineStr">
        <is>
          <t>STRÖMSTAD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46315</v>
      </c>
      <c r="F66" t="inlineStr">
        <is>
          <t>VÄSTRA GÖTALANDS LÄN</t>
        </is>
      </c>
      <c r="G66" t="inlineStr">
        <is>
          <t>STRÖMSTAD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45578</v>
      </c>
      <c r="E67" s="1" t="n">
        <v>46315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13325-2022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46315</v>
      </c>
      <c r="F68" t="inlineStr">
        <is>
          <t>VÄSTRA GÖTALANDS LÄN</t>
        </is>
      </c>
      <c r="G68" t="inlineStr">
        <is>
          <t>STRÖMSTAD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45638</v>
      </c>
      <c r="E69" s="1" t="n">
        <v>46315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46315</v>
      </c>
      <c r="F70" t="inlineStr">
        <is>
          <t>VÄSTRA GÖTALANDS LÄN</t>
        </is>
      </c>
      <c r="G70" t="inlineStr">
        <is>
          <t>STRÖMSTAD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46315</v>
      </c>
      <c r="F71" t="inlineStr">
        <is>
          <t>VÄSTRA GÖTALANDS LÄN</t>
        </is>
      </c>
      <c r="G71" t="inlineStr">
        <is>
          <t>STRÖMSTAD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53761-2024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46315</v>
      </c>
      <c r="F72" t="inlineStr">
        <is>
          <t>VÄSTRA GÖTALANDS LÄN</t>
        </is>
      </c>
      <c r="G72" t="inlineStr">
        <is>
          <t>STRÖMSTAD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46315</v>
      </c>
      <c r="F73" t="inlineStr">
        <is>
          <t>VÄSTRA GÖTALANDS LÄN</t>
        </is>
      </c>
      <c r="G73" t="inlineStr">
        <is>
          <t>STRÖMSTAD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16989-2023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46315</v>
      </c>
      <c r="F74" t="inlineStr">
        <is>
          <t>VÄSTRA GÖTALANDS LÄN</t>
        </is>
      </c>
      <c r="G74" t="inlineStr">
        <is>
          <t>STRÖMSTAD</t>
        </is>
      </c>
      <c r="H74" t="inlineStr">
        <is>
          <t>Kommuner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44529-2023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46315</v>
      </c>
      <c r="F75" t="inlineStr">
        <is>
          <t>VÄSTRA GÖTALANDS LÄN</t>
        </is>
      </c>
      <c r="G75" t="inlineStr">
        <is>
          <t>STRÖMSTAD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33745-2023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46315</v>
      </c>
      <c r="F76" t="inlineStr">
        <is>
          <t>VÄSTRA GÖTALANDS LÄN</t>
        </is>
      </c>
      <c r="G76" t="inlineStr">
        <is>
          <t>STRÖMSTAD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46315</v>
      </c>
      <c r="F77" t="inlineStr">
        <is>
          <t>VÄSTRA GÖTALANDS LÄN</t>
        </is>
      </c>
      <c r="G77" t="inlineStr">
        <is>
          <t>STRÖMSTAD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46315</v>
      </c>
      <c r="F78" t="inlineStr">
        <is>
          <t>VÄSTRA GÖTALANDS LÄN</t>
        </is>
      </c>
      <c r="G78" t="inlineStr">
        <is>
          <t>STRÖMSTAD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46315</v>
      </c>
      <c r="F79" t="inlineStr">
        <is>
          <t>VÄSTRA GÖTALANDS LÄN</t>
        </is>
      </c>
      <c r="G79" t="inlineStr">
        <is>
          <t>STRÖMSTAD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46315</v>
      </c>
      <c r="F80" t="inlineStr">
        <is>
          <t>VÄSTRA GÖTALANDS LÄN</t>
        </is>
      </c>
      <c r="G80" t="inlineStr">
        <is>
          <t>STRÖMSTAD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46315</v>
      </c>
      <c r="F81" t="inlineStr">
        <is>
          <t>VÄSTRA GÖTALANDS LÄN</t>
        </is>
      </c>
      <c r="G81" t="inlineStr">
        <is>
          <t>STRÖMSTAD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46315</v>
      </c>
      <c r="F82" t="inlineStr">
        <is>
          <t>VÄSTRA GÖTALANDS LÄN</t>
        </is>
      </c>
      <c r="G82" t="inlineStr">
        <is>
          <t>STRÖMSTAD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46315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19134-2025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45764</v>
      </c>
      <c r="E84" s="1" t="n">
        <v>46315</v>
      </c>
      <c r="F84" t="inlineStr">
        <is>
          <t>VÄSTRA GÖTALANDS LÄN</t>
        </is>
      </c>
      <c r="G84" t="inlineStr">
        <is>
          <t>STRÖMSTAD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45876</v>
      </c>
      <c r="E85" s="1" t="n">
        <v>46315</v>
      </c>
      <c r="F85" t="inlineStr">
        <is>
          <t>VÄSTRA GÖTALANDS LÄN</t>
        </is>
      </c>
      <c r="G85" t="inlineStr">
        <is>
          <t>STRÖMSTAD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46315</v>
      </c>
      <c r="F86" t="inlineStr">
        <is>
          <t>VÄSTRA GÖTALANDS LÄN</t>
        </is>
      </c>
      <c r="G86" t="inlineStr">
        <is>
          <t>STRÖMSTAD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46142</v>
      </c>
      <c r="E87" s="1" t="n">
        <v>46315</v>
      </c>
      <c r="F87" t="inlineStr">
        <is>
          <t>VÄSTRA GÖTALANDS LÄN</t>
        </is>
      </c>
      <c r="G87" t="inlineStr">
        <is>
          <t>STRÖMSTAD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45071</v>
      </c>
      <c r="E88" s="1" t="n">
        <v>46315</v>
      </c>
      <c r="F88" t="inlineStr">
        <is>
          <t>VÄSTRA GÖTALANDS LÄN</t>
        </is>
      </c>
      <c r="G88" t="inlineStr">
        <is>
          <t>STRÖMSTAD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44865</v>
      </c>
      <c r="E89" s="1" t="n">
        <v>46315</v>
      </c>
      <c r="F89" t="inlineStr">
        <is>
          <t>VÄSTRA GÖTALANDS LÄN</t>
        </is>
      </c>
      <c r="G89" t="inlineStr">
        <is>
          <t>STRÖMSTAD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46315</v>
      </c>
      <c r="F90" t="inlineStr">
        <is>
          <t>VÄSTRA GÖTALANDS LÄN</t>
        </is>
      </c>
      <c r="G90" t="inlineStr">
        <is>
          <t>STRÖMSTAD</t>
        </is>
      </c>
      <c r="H90" t="inlineStr">
        <is>
          <t>Övriga Aktiebolag</t>
        </is>
      </c>
      <c r="I90" t="n">
        <v>14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46315</v>
      </c>
      <c r="F91" t="inlineStr">
        <is>
          <t>VÄSTRA GÖTALANDS LÄN</t>
        </is>
      </c>
      <c r="G91" t="inlineStr">
        <is>
          <t>STRÖMSTAD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46315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46315</v>
      </c>
      <c r="F93" t="inlineStr">
        <is>
          <t>VÄSTRA GÖTALANDS LÄN</t>
        </is>
      </c>
      <c r="G93" t="inlineStr">
        <is>
          <t>STRÖMSTAD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45301</v>
      </c>
      <c r="E94" s="1" t="n">
        <v>46315</v>
      </c>
      <c r="F94" t="inlineStr">
        <is>
          <t>VÄSTRA GÖTALANDS LÄN</t>
        </is>
      </c>
      <c r="G94" t="inlineStr">
        <is>
          <t>STRÖMSTAD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46150</v>
      </c>
      <c r="E95" s="1" t="n">
        <v>46315</v>
      </c>
      <c r="F95" t="inlineStr">
        <is>
          <t>VÄSTRA GÖTALANDS LÄN</t>
        </is>
      </c>
      <c r="G95" t="inlineStr">
        <is>
          <t>STRÖMSTAD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45316</v>
      </c>
      <c r="E96" s="1" t="n">
        <v>46315</v>
      </c>
      <c r="F96" t="inlineStr">
        <is>
          <t>VÄSTRA GÖTALANDS LÄN</t>
        </is>
      </c>
      <c r="G96" t="inlineStr">
        <is>
          <t>STRÖMSTAD</t>
        </is>
      </c>
      <c r="H96" t="inlineStr">
        <is>
          <t>Kommuner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46315</v>
      </c>
      <c r="F97" t="inlineStr">
        <is>
          <t>VÄSTRA GÖTALANDS LÄN</t>
        </is>
      </c>
      <c r="G97" t="inlineStr">
        <is>
          <t>STRÖMSTAD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46315</v>
      </c>
      <c r="F98" t="inlineStr">
        <is>
          <t>VÄSTRA GÖTALANDS LÄN</t>
        </is>
      </c>
      <c r="G98" t="inlineStr">
        <is>
          <t>STRÖMSTAD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46149</v>
      </c>
      <c r="E99" s="1" t="n">
        <v>46315</v>
      </c>
      <c r="F99" t="inlineStr">
        <is>
          <t>VÄSTRA GÖTALANDS LÄN</t>
        </is>
      </c>
      <c r="G99" t="inlineStr">
        <is>
          <t>STRÖMSTAD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46315</v>
      </c>
      <c r="F100" t="inlineStr">
        <is>
          <t>VÄSTRA GÖTALANDS LÄN</t>
        </is>
      </c>
      <c r="G100" t="inlineStr">
        <is>
          <t>STRÖMSTAD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46150</v>
      </c>
      <c r="E101" s="1" t="n">
        <v>46315</v>
      </c>
      <c r="F101" t="inlineStr">
        <is>
          <t>VÄSTRA GÖTALANDS LÄN</t>
        </is>
      </c>
      <c r="G101" t="inlineStr">
        <is>
          <t>STRÖMSTAD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46315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46315</v>
      </c>
      <c r="F103" t="inlineStr">
        <is>
          <t>VÄSTRA GÖTALANDS LÄN</t>
        </is>
      </c>
      <c r="G103" t="inlineStr">
        <is>
          <t>STRÖMSTAD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45548</v>
      </c>
      <c r="E104" s="1" t="n">
        <v>46315</v>
      </c>
      <c r="F104" t="inlineStr">
        <is>
          <t>VÄSTRA GÖTALANDS LÄN</t>
        </is>
      </c>
      <c r="G104" t="inlineStr">
        <is>
          <t>STRÖMSTAD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38983-2024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46315</v>
      </c>
      <c r="F105" t="inlineStr">
        <is>
          <t>VÄSTRA GÖTALANDS LÄN</t>
        </is>
      </c>
      <c r="G105" t="inlineStr">
        <is>
          <t>STRÖMSTAD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45972</v>
      </c>
      <c r="E106" s="1" t="n">
        <v>46315</v>
      </c>
      <c r="F106" t="inlineStr">
        <is>
          <t>VÄSTRA GÖTALANDS LÄN</t>
        </is>
      </c>
      <c r="G106" t="inlineStr">
        <is>
          <t>STRÖMSTAD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46315</v>
      </c>
      <c r="F107" t="inlineStr">
        <is>
          <t>VÄSTRA GÖTALANDS LÄN</t>
        </is>
      </c>
      <c r="G107" t="inlineStr">
        <is>
          <t>STRÖMSTAD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56130-2022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44886</v>
      </c>
      <c r="E108" s="1" t="n">
        <v>46315</v>
      </c>
      <c r="F108" t="inlineStr">
        <is>
          <t>VÄSTRA GÖTALANDS LÄN</t>
        </is>
      </c>
      <c r="G108" t="inlineStr">
        <is>
          <t>STRÖMSTAD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33747-2023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45133</v>
      </c>
      <c r="E109" s="1" t="n">
        <v>46315</v>
      </c>
      <c r="F109" t="inlineStr">
        <is>
          <t>VÄSTRA GÖTALANDS LÄN</t>
        </is>
      </c>
      <c r="G109" t="inlineStr">
        <is>
          <t>STRÖMSTAD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21333-2024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46315</v>
      </c>
      <c r="F110" t="inlineStr">
        <is>
          <t>VÄSTRA GÖTALANDS LÄN</t>
        </is>
      </c>
      <c r="G110" t="inlineStr">
        <is>
          <t>STRÖMSTAD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46315</v>
      </c>
      <c r="F111" t="inlineStr">
        <is>
          <t>VÄSTRA GÖTALANDS LÄN</t>
        </is>
      </c>
      <c r="G111" t="inlineStr">
        <is>
          <t>STRÖMSTAD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46315</v>
      </c>
      <c r="F112" t="inlineStr">
        <is>
          <t>VÄSTRA GÖTALANDS LÄN</t>
        </is>
      </c>
      <c r="G112" t="inlineStr">
        <is>
          <t>STRÖMSTAD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45482</v>
      </c>
      <c r="E113" s="1" t="n">
        <v>46315</v>
      </c>
      <c r="F113" t="inlineStr">
        <is>
          <t>VÄSTRA GÖTALANDS LÄN</t>
        </is>
      </c>
      <c r="G113" t="inlineStr">
        <is>
          <t>STRÖMSTAD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46315</v>
      </c>
      <c r="F114" t="inlineStr">
        <is>
          <t>VÄSTRA GÖTALANDS LÄN</t>
        </is>
      </c>
      <c r="G114" t="inlineStr">
        <is>
          <t>STRÖMSTAD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44603</v>
      </c>
      <c r="E115" s="1" t="n">
        <v>46315</v>
      </c>
      <c r="F115" t="inlineStr">
        <is>
          <t>VÄSTRA GÖTALANDS LÄN</t>
        </is>
      </c>
      <c r="G115" t="inlineStr">
        <is>
          <t>STRÖMSTAD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46315</v>
      </c>
      <c r="F116" t="inlineStr">
        <is>
          <t>VÄSTRA GÖTALANDS LÄN</t>
        </is>
      </c>
      <c r="G116" t="inlineStr">
        <is>
          <t>STRÖMSTAD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46315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45600</v>
      </c>
      <c r="E118" s="1" t="n">
        <v>46315</v>
      </c>
      <c r="F118" t="inlineStr">
        <is>
          <t>VÄSTRA GÖTALANDS LÄN</t>
        </is>
      </c>
      <c r="G118" t="inlineStr">
        <is>
          <t>STRÖMSTAD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67875-2021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46315</v>
      </c>
      <c r="F119" t="inlineStr">
        <is>
          <t>VÄSTRA GÖTALANDS LÄN</t>
        </is>
      </c>
      <c r="G119" t="inlineStr">
        <is>
          <t>STRÖMSTAD</t>
        </is>
      </c>
      <c r="I119" t="n">
        <v>15.5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45407</v>
      </c>
      <c r="E120" s="1" t="n">
        <v>46315</v>
      </c>
      <c r="F120" t="inlineStr">
        <is>
          <t>VÄSTRA GÖTALANDS LÄN</t>
        </is>
      </c>
      <c r="G120" t="inlineStr">
        <is>
          <t>STRÖMSTAD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46315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46315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45170</v>
      </c>
      <c r="E123" s="1" t="n">
        <v>46315</v>
      </c>
      <c r="F123" t="inlineStr">
        <is>
          <t>VÄSTRA GÖTALANDS LÄN</t>
        </is>
      </c>
      <c r="G123" t="inlineStr">
        <is>
          <t>STRÖMSTAD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45366</v>
      </c>
      <c r="E124" s="1" t="n">
        <v>46315</v>
      </c>
      <c r="F124" t="inlineStr">
        <is>
          <t>VÄSTRA GÖTALANDS LÄN</t>
        </is>
      </c>
      <c r="G124" t="inlineStr">
        <is>
          <t>STRÖMSTAD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45555</v>
      </c>
      <c r="E125" s="1" t="n">
        <v>46315</v>
      </c>
      <c r="F125" t="inlineStr">
        <is>
          <t>VÄSTRA GÖTALANDS LÄN</t>
        </is>
      </c>
      <c r="G125" t="inlineStr">
        <is>
          <t>STRÖMSTAD</t>
        </is>
      </c>
      <c r="I125" t="n">
        <v>14.5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46315</v>
      </c>
      <c r="F126" t="inlineStr">
        <is>
          <t>VÄSTRA GÖTALANDS LÄN</t>
        </is>
      </c>
      <c r="G126" t="inlineStr">
        <is>
          <t>STRÖMSTAD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46315</v>
      </c>
      <c r="F127" t="inlineStr">
        <is>
          <t>VÄSTRA GÖTALANDS LÄN</t>
        </is>
      </c>
      <c r="G127" t="inlineStr">
        <is>
          <t>STRÖMSTAD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46315</v>
      </c>
      <c r="F128" t="inlineStr">
        <is>
          <t>VÄSTRA GÖTALANDS LÄN</t>
        </is>
      </c>
      <c r="G128" t="inlineStr">
        <is>
          <t>STRÖMSTAD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46315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26409-2026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46182</v>
      </c>
      <c r="E130" s="1" t="n">
        <v>46315</v>
      </c>
      <c r="F130" t="inlineStr">
        <is>
          <t>VÄSTRA GÖTALANDS LÄN</t>
        </is>
      </c>
      <c r="G130" t="inlineStr">
        <is>
          <t>STRÖMSTAD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46315</v>
      </c>
      <c r="F131" t="inlineStr">
        <is>
          <t>VÄSTRA GÖTALANDS LÄN</t>
        </is>
      </c>
      <c r="G131" t="inlineStr">
        <is>
          <t>STRÖMSTAD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45547</v>
      </c>
      <c r="E132" s="1" t="n">
        <v>46315</v>
      </c>
      <c r="F132" t="inlineStr">
        <is>
          <t>VÄSTRA GÖTALANDS LÄN</t>
        </is>
      </c>
      <c r="G132" t="inlineStr">
        <is>
          <t>STRÖMSTAD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46315</v>
      </c>
      <c r="F133" t="inlineStr">
        <is>
          <t>VÄSTRA GÖTALANDS LÄN</t>
        </is>
      </c>
      <c r="G133" t="inlineStr">
        <is>
          <t>STRÖMSTAD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8047-2024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45351</v>
      </c>
      <c r="E134" s="1" t="n">
        <v>46315</v>
      </c>
      <c r="F134" t="inlineStr">
        <is>
          <t>VÄSTRA GÖTALANDS LÄN</t>
        </is>
      </c>
      <c r="G134" t="inlineStr">
        <is>
          <t>STRÖMSTAD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46315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Kommuner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46315</v>
      </c>
      <c r="F136" t="inlineStr">
        <is>
          <t>VÄSTRA GÖTALANDS LÄN</t>
        </is>
      </c>
      <c r="G136" t="inlineStr">
        <is>
          <t>STRÖMSTAD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45085</v>
      </c>
      <c r="E137" s="1" t="n">
        <v>46315</v>
      </c>
      <c r="F137" t="inlineStr">
        <is>
          <t>VÄSTRA GÖTALANDS LÄN</t>
        </is>
      </c>
      <c r="G137" t="inlineStr">
        <is>
          <t>STRÖMSTAD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46315</v>
      </c>
      <c r="F138" t="inlineStr">
        <is>
          <t>VÄSTRA GÖTALANDS LÄN</t>
        </is>
      </c>
      <c r="G138" t="inlineStr">
        <is>
          <t>STRÖMSTAD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46315</v>
      </c>
      <c r="F139" t="inlineStr">
        <is>
          <t>VÄSTRA GÖTALANDS LÄN</t>
        </is>
      </c>
      <c r="G139" t="inlineStr">
        <is>
          <t>STRÖMSTAD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46315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46315</v>
      </c>
      <c r="F141" t="inlineStr">
        <is>
          <t>VÄSTRA GÖTALANDS LÄN</t>
        </is>
      </c>
      <c r="G141" t="inlineStr">
        <is>
          <t>STRÖMSTAD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20888-2022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46315</v>
      </c>
      <c r="F142" t="inlineStr">
        <is>
          <t>VÄSTRA GÖTALANDS LÄN</t>
        </is>
      </c>
      <c r="G142" t="inlineStr">
        <is>
          <t>STRÖMSTAD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46315</v>
      </c>
      <c r="F143" t="inlineStr">
        <is>
          <t>VÄSTRA GÖTALANDS LÄN</t>
        </is>
      </c>
      <c r="G143" t="inlineStr">
        <is>
          <t>STRÖMSTAD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46315</v>
      </c>
      <c r="F144" t="inlineStr">
        <is>
          <t>VÄSTRA GÖTALANDS LÄN</t>
        </is>
      </c>
      <c r="G144" t="inlineStr">
        <is>
          <t>STRÖMSTAD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45728</v>
      </c>
      <c r="E145" s="1" t="n">
        <v>46315</v>
      </c>
      <c r="F145" t="inlineStr">
        <is>
          <t>VÄSTRA GÖTALANDS LÄN</t>
        </is>
      </c>
      <c r="G145" t="inlineStr">
        <is>
          <t>STRÖMSTAD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45318</v>
      </c>
      <c r="E146" s="1" t="n">
        <v>46315</v>
      </c>
      <c r="F146" t="inlineStr">
        <is>
          <t>VÄSTRA GÖTALANDS LÄN</t>
        </is>
      </c>
      <c r="G146" t="inlineStr">
        <is>
          <t>STRÖMSTAD</t>
        </is>
      </c>
      <c r="H146" t="inlineStr">
        <is>
          <t>Kommuner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46315</v>
      </c>
      <c r="F147" t="inlineStr">
        <is>
          <t>VÄSTRA GÖTALANDS LÄN</t>
        </is>
      </c>
      <c r="G147" t="inlineStr">
        <is>
          <t>STRÖMSTAD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46315</v>
      </c>
      <c r="F148" t="inlineStr">
        <is>
          <t>VÄSTRA GÖTALANDS LÄN</t>
        </is>
      </c>
      <c r="G148" t="inlineStr">
        <is>
          <t>STRÖMSTAD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46315</v>
      </c>
      <c r="F149" t="inlineStr">
        <is>
          <t>VÄSTRA GÖTALANDS LÄN</t>
        </is>
      </c>
      <c r="G149" t="inlineStr">
        <is>
          <t>STRÖMSTAD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46315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46315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46315</v>
      </c>
      <c r="F152" t="inlineStr">
        <is>
          <t>VÄSTRA GÖTALANDS LÄN</t>
        </is>
      </c>
      <c r="G152" t="inlineStr">
        <is>
          <t>STRÖMSTAD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46196</v>
      </c>
      <c r="E153" s="1" t="n">
        <v>46315</v>
      </c>
      <c r="F153" t="inlineStr">
        <is>
          <t>VÄSTRA GÖTALANDS LÄN</t>
        </is>
      </c>
      <c r="G153" t="inlineStr">
        <is>
          <t>STRÖMSTAD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46315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46156</v>
      </c>
      <c r="E155" s="1" t="n">
        <v>46315</v>
      </c>
      <c r="F155" t="inlineStr">
        <is>
          <t>VÄSTRA GÖTALANDS LÄN</t>
        </is>
      </c>
      <c r="G155" t="inlineStr">
        <is>
          <t>STRÖMSTAD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45301</v>
      </c>
      <c r="E156" s="1" t="n">
        <v>46315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46103</v>
      </c>
      <c r="E157" s="1" t="n">
        <v>46315</v>
      </c>
      <c r="F157" t="inlineStr">
        <is>
          <t>VÄSTRA GÖTALANDS LÄN</t>
        </is>
      </c>
      <c r="G157" t="inlineStr">
        <is>
          <t>STRÖMSTAD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46315</v>
      </c>
      <c r="F158" t="inlineStr">
        <is>
          <t>VÄSTRA GÖTALANDS LÄN</t>
        </is>
      </c>
      <c r="G158" t="inlineStr">
        <is>
          <t>STRÖMSTAD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44892</v>
      </c>
      <c r="E159" s="1" t="n">
        <v>46315</v>
      </c>
      <c r="F159" t="inlineStr">
        <is>
          <t>VÄSTRA GÖTALANDS LÄN</t>
        </is>
      </c>
      <c r="G159" t="inlineStr">
        <is>
          <t>STRÖMSTAD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45834</v>
      </c>
      <c r="E160" s="1" t="n">
        <v>46315</v>
      </c>
      <c r="F160" t="inlineStr">
        <is>
          <t>VÄSTRA GÖTALANDS LÄN</t>
        </is>
      </c>
      <c r="G160" t="inlineStr">
        <is>
          <t>STRÖMSTAD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46204</v>
      </c>
      <c r="E161" s="1" t="n">
        <v>46315</v>
      </c>
      <c r="F161" t="inlineStr">
        <is>
          <t>VÄSTRA GÖTALANDS LÄN</t>
        </is>
      </c>
      <c r="G161" t="inlineStr">
        <is>
          <t>STRÖMSTAD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46315</v>
      </c>
      <c r="F162" t="inlineStr">
        <is>
          <t>VÄSTRA GÖTALANDS LÄN</t>
        </is>
      </c>
      <c r="G162" t="inlineStr">
        <is>
          <t>STRÖMSTAD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46315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44621</v>
      </c>
      <c r="E164" s="1" t="n">
        <v>46315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45061</v>
      </c>
      <c r="E165" s="1" t="n">
        <v>46315</v>
      </c>
      <c r="F165" t="inlineStr">
        <is>
          <t>VÄSTRA GÖTALANDS LÄN</t>
        </is>
      </c>
      <c r="G165" t="inlineStr">
        <is>
          <t>STRÖMSTAD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46230</v>
      </c>
      <c r="E166" s="1" t="n">
        <v>46315</v>
      </c>
      <c r="F166" t="inlineStr">
        <is>
          <t>VÄSTRA GÖTALANDS LÄN</t>
        </is>
      </c>
      <c r="G166" t="inlineStr">
        <is>
          <t>STRÖMSTAD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46315</v>
      </c>
      <c r="F167" t="inlineStr">
        <is>
          <t>VÄSTRA GÖTALANDS LÄN</t>
        </is>
      </c>
      <c r="G167" t="inlineStr">
        <is>
          <t>STRÖMSTAD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46315</v>
      </c>
      <c r="F168" t="inlineStr">
        <is>
          <t>VÄSTRA GÖTALANDS LÄN</t>
        </is>
      </c>
      <c r="G168" t="inlineStr">
        <is>
          <t>STRÖMSTAD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46279</v>
      </c>
      <c r="E169" s="1" t="n">
        <v>46315</v>
      </c>
      <c r="F169" t="inlineStr">
        <is>
          <t>VÄSTRA GÖTALANDS LÄN</t>
        </is>
      </c>
      <c r="G169" t="inlineStr">
        <is>
          <t>STRÖMSTAD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46273</v>
      </c>
      <c r="E170" s="1" t="n">
        <v>46315</v>
      </c>
      <c r="F170" t="inlineStr">
        <is>
          <t>VÄSTRA GÖTALANDS LÄN</t>
        </is>
      </c>
      <c r="G170" t="inlineStr">
        <is>
          <t>STRÖMSTAD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46283</v>
      </c>
      <c r="E171" s="1" t="n">
        <v>46315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Kyrkan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46315</v>
      </c>
      <c r="F172" t="inlineStr">
        <is>
          <t>VÄSTRA GÖTALANDS LÄN</t>
        </is>
      </c>
      <c r="G172" t="inlineStr">
        <is>
          <t>STRÖMSTAD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46315</v>
      </c>
      <c r="F173" t="inlineStr">
        <is>
          <t>VÄSTRA GÖTALANDS LÄN</t>
        </is>
      </c>
      <c r="G173" t="inlineStr">
        <is>
          <t>STRÖMSTAD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46315</v>
      </c>
      <c r="F174" t="inlineStr">
        <is>
          <t>VÄSTRA GÖTALANDS LÄN</t>
        </is>
      </c>
      <c r="G174" t="inlineStr">
        <is>
          <t>STRÖMSTAD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46315</v>
      </c>
      <c r="F175" t="inlineStr">
        <is>
          <t>VÄSTRA GÖTALANDS LÄN</t>
        </is>
      </c>
      <c r="G175" t="inlineStr">
        <is>
          <t>STRÖMSTAD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46315</v>
      </c>
      <c r="F176" t="inlineStr">
        <is>
          <t>VÄSTRA GÖTALANDS LÄN</t>
        </is>
      </c>
      <c r="G176" t="inlineStr">
        <is>
          <t>STRÖMSTAD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46315</v>
      </c>
      <c r="F177" t="inlineStr">
        <is>
          <t>VÄSTRA GÖTALANDS LÄN</t>
        </is>
      </c>
      <c r="G177" t="inlineStr">
        <is>
          <t>STRÖMSTAD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44907</v>
      </c>
      <c r="E178" s="1" t="n">
        <v>46315</v>
      </c>
      <c r="F178" t="inlineStr">
        <is>
          <t>VÄSTRA GÖTALANDS LÄN</t>
        </is>
      </c>
      <c r="G178" t="inlineStr">
        <is>
          <t>STRÖMSTAD</t>
        </is>
      </c>
      <c r="I178" t="n">
        <v>10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52950-2022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46315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46315</v>
      </c>
      <c r="F180" t="inlineStr">
        <is>
          <t>VÄSTRA GÖTALANDS LÄN</t>
        </is>
      </c>
      <c r="G180" t="inlineStr">
        <is>
          <t>STRÖMSTAD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46315</v>
      </c>
      <c r="F181" t="inlineStr">
        <is>
          <t>VÄSTRA GÖTALANDS LÄN</t>
        </is>
      </c>
      <c r="G181" t="inlineStr">
        <is>
          <t>STRÖMSTAD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46315</v>
      </c>
      <c r="F182" t="inlineStr">
        <is>
          <t>VÄSTRA GÖTALANDS LÄN</t>
        </is>
      </c>
      <c r="G182" t="inlineStr">
        <is>
          <t>STRÖMSTAD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45316</v>
      </c>
      <c r="E183" s="1" t="n">
        <v>46315</v>
      </c>
      <c r="F183" t="inlineStr">
        <is>
          <t>VÄSTRA GÖTALANDS LÄN</t>
        </is>
      </c>
      <c r="G183" t="inlineStr">
        <is>
          <t>STRÖMSTAD</t>
        </is>
      </c>
      <c r="H183" t="inlineStr">
        <is>
          <t>Kommuner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46315</v>
      </c>
      <c r="F184" t="inlineStr">
        <is>
          <t>VÄSTRA GÖTALANDS LÄN</t>
        </is>
      </c>
      <c r="G184" t="inlineStr">
        <is>
          <t>STRÖMSTAD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46293</v>
      </c>
      <c r="E185" s="1" t="n">
        <v>46315</v>
      </c>
      <c r="F185" t="inlineStr">
        <is>
          <t>VÄSTRA GÖTALANDS LÄN</t>
        </is>
      </c>
      <c r="G185" t="inlineStr">
        <is>
          <t>STRÖMSTAD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46315</v>
      </c>
      <c r="F186" t="inlineStr">
        <is>
          <t>VÄSTRA GÖTALANDS LÄN</t>
        </is>
      </c>
      <c r="G186" t="inlineStr">
        <is>
          <t>STRÖMSTAD</t>
        </is>
      </c>
      <c r="H186" t="inlineStr">
        <is>
          <t>Kyrkan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46315</v>
      </c>
      <c r="F187" t="inlineStr">
        <is>
          <t>VÄSTRA GÖTALANDS LÄN</t>
        </is>
      </c>
      <c r="G187" t="inlineStr">
        <is>
          <t>STRÖMSTAD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45632-2024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46315</v>
      </c>
      <c r="F188" t="inlineStr">
        <is>
          <t>VÄSTRA GÖTALANDS LÄN</t>
        </is>
      </c>
      <c r="G188" t="inlineStr">
        <is>
          <t>STRÖMSTAD</t>
        </is>
      </c>
      <c r="H188" t="inlineStr">
        <is>
          <t>Kyrkan</t>
        </is>
      </c>
      <c r="I188" t="n">
        <v>9.5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46315</v>
      </c>
      <c r="F189" t="inlineStr">
        <is>
          <t>VÄSTRA GÖTALANDS LÄN</t>
        </is>
      </c>
      <c r="G189" t="inlineStr">
        <is>
          <t>STRÖMSTAD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46315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46315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46315</v>
      </c>
      <c r="F192" t="inlineStr">
        <is>
          <t>VÄSTRA GÖTALANDS LÄN</t>
        </is>
      </c>
      <c r="G192" t="inlineStr">
        <is>
          <t>STRÖMSTAD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46315</v>
      </c>
      <c r="F193" t="inlineStr">
        <is>
          <t>VÄSTRA GÖTALANDS LÄN</t>
        </is>
      </c>
      <c r="G193" t="inlineStr">
        <is>
          <t>STRÖMSTAD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46297</v>
      </c>
      <c r="E194" s="1" t="n">
        <v>46315</v>
      </c>
      <c r="F194" t="inlineStr">
        <is>
          <t>VÄSTRA GÖTALANDS LÄN</t>
        </is>
      </c>
      <c r="G194" t="inlineStr">
        <is>
          <t>STRÖMSTAD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45716</v>
      </c>
      <c r="E195" s="1" t="n">
        <v>46315</v>
      </c>
      <c r="F195" t="inlineStr">
        <is>
          <t>VÄSTRA GÖTALANDS LÄN</t>
        </is>
      </c>
      <c r="G195" t="inlineStr">
        <is>
          <t>STRÖMSTAD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46315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46315</v>
      </c>
      <c r="F197" t="inlineStr">
        <is>
          <t>VÄSTRA GÖTALANDS LÄN</t>
        </is>
      </c>
      <c r="G197" t="inlineStr">
        <is>
          <t>STRÖMSTAD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46315</v>
      </c>
      <c r="F198" t="inlineStr">
        <is>
          <t>VÄSTRA GÖTALANDS LÄN</t>
        </is>
      </c>
      <c r="G198" t="inlineStr">
        <is>
          <t>STRÖMSTAD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46315</v>
      </c>
      <c r="F199" t="inlineStr">
        <is>
          <t>VÄSTRA GÖTALANDS LÄN</t>
        </is>
      </c>
      <c r="G199" t="inlineStr">
        <is>
          <t>STRÖMSTAD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46315</v>
      </c>
      <c r="F200" t="inlineStr">
        <is>
          <t>VÄSTRA GÖTALANDS LÄN</t>
        </is>
      </c>
      <c r="G200" t="inlineStr">
        <is>
          <t>STRÖMSTAD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45805</v>
      </c>
      <c r="E201" s="1" t="n">
        <v>46315</v>
      </c>
      <c r="F201" t="inlineStr">
        <is>
          <t>VÄSTRA GÖTALANDS LÄN</t>
        </is>
      </c>
      <c r="G201" t="inlineStr">
        <is>
          <t>STRÖMSTAD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35205-2026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46260</v>
      </c>
      <c r="E202" s="1" t="n">
        <v>46315</v>
      </c>
      <c r="F202" t="inlineStr">
        <is>
          <t>VÄSTRA GÖTALANDS LÄN</t>
        </is>
      </c>
      <c r="G202" t="inlineStr">
        <is>
          <t>STRÖMSTAD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44649</v>
      </c>
      <c r="E203" s="1" t="n">
        <v>46315</v>
      </c>
      <c r="F203" t="inlineStr">
        <is>
          <t>VÄSTRA GÖTALANDS LÄN</t>
        </is>
      </c>
      <c r="G203" t="inlineStr">
        <is>
          <t>STRÖMSTAD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15552-2023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45018</v>
      </c>
      <c r="E204" s="1" t="n">
        <v>46315</v>
      </c>
      <c r="F204" t="inlineStr">
        <is>
          <t>VÄSTRA GÖTALANDS LÄN</t>
        </is>
      </c>
      <c r="G204" t="inlineStr">
        <is>
          <t>STRÖMSTAD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46266</v>
      </c>
      <c r="E205" s="1" t="n">
        <v>46315</v>
      </c>
      <c r="F205" t="inlineStr">
        <is>
          <t>VÄSTRA GÖTALANDS LÄN</t>
        </is>
      </c>
      <c r="G205" t="inlineStr">
        <is>
          <t>STRÖMSTAD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33569-2025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46315</v>
      </c>
      <c r="F206" t="inlineStr">
        <is>
          <t>VÄSTRA GÖTALANDS LÄN</t>
        </is>
      </c>
      <c r="G206" t="inlineStr">
        <is>
          <t>STRÖMSTAD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46315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46315</v>
      </c>
      <c r="F208" t="inlineStr">
        <is>
          <t>VÄSTRA GÖTALANDS LÄN</t>
        </is>
      </c>
      <c r="G208" t="inlineStr">
        <is>
          <t>STRÖMSTAD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45805</v>
      </c>
      <c r="E209" s="1" t="n">
        <v>46315</v>
      </c>
      <c r="F209" t="inlineStr">
        <is>
          <t>VÄSTRA GÖTALANDS LÄN</t>
        </is>
      </c>
      <c r="G209" t="inlineStr">
        <is>
          <t>STRÖMSTAD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46315</v>
      </c>
      <c r="F210" t="inlineStr">
        <is>
          <t>VÄSTRA GÖTALANDS LÄN</t>
        </is>
      </c>
      <c r="G210" t="inlineStr">
        <is>
          <t>STRÖMSTAD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45750</v>
      </c>
      <c r="E211" s="1" t="n">
        <v>46315</v>
      </c>
      <c r="F211" t="inlineStr">
        <is>
          <t>VÄSTRA GÖTALANDS LÄN</t>
        </is>
      </c>
      <c r="G211" t="inlineStr">
        <is>
          <t>STRÖMSTAD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46315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46315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46315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2026-10-20T01:50:09Z</dcterms:created>
  <dcterms:modified xmlns:dcterms="http://purl.org/dc/terms/" xmlns:xsi="http://www.w3.org/2001/XMLSchema-instance" xsi:type="dcterms:W3CDTF">2026-10-20T01:50:09Z</dcterms:modified>
</cp:coreProperties>
</file>