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45513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45513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45513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8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Blylav
Skogssvingel
Blek stjärnmossa
Grov fjädermossa
Gulnål
Kattfotslav
Korallblylav
Platt fjädermossa
Stor aspticka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45513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45513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45513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45513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45513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45513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45513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45513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57107-2020</t>
        </is>
      </c>
      <c r="B13" s="1" t="n">
        <v>44139</v>
      </c>
      <c r="C13" s="1" t="n">
        <v>45513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Aspvedgnagare
Granbarkgnagare
Guldlockmossa</t>
        </is>
      </c>
      <c r="S13">
        <f>HYPERLINK("https://klasma.github.io/Logging_1486/artfynd/A 57107-2020 artfynd.xlsx", "A 57107-2020")</f>
        <v/>
      </c>
      <c r="T13">
        <f>HYPERLINK("https://klasma.github.io/Logging_1486/kartor/A 57107-2020 karta.png", "A 57107-2020")</f>
        <v/>
      </c>
      <c r="V13">
        <f>HYPERLINK("https://klasma.github.io/Logging_1486/klagomål/A 57107-2020 FSC-klagomål.docx", "A 57107-2020")</f>
        <v/>
      </c>
      <c r="W13">
        <f>HYPERLINK("https://klasma.github.io/Logging_1486/klagomålsmail/A 57107-2020 FSC-klagomål mail.docx", "A 57107-2020")</f>
        <v/>
      </c>
      <c r="X13">
        <f>HYPERLINK("https://klasma.github.io/Logging_1486/tillsyn/A 57107-2020 tillsynsbegäran.docx", "A 57107-2020")</f>
        <v/>
      </c>
      <c r="Y13">
        <f>HYPERLINK("https://klasma.github.io/Logging_1486/tillsynsmail/A 57107-2020 tillsynsbegäran mail.docx", "A 57107-2020")</f>
        <v/>
      </c>
    </row>
    <row r="14" ht="15" customHeight="1">
      <c r="A14" t="inlineStr">
        <is>
          <t>A 14449-2024</t>
        </is>
      </c>
      <c r="B14" s="1" t="n">
        <v>45394</v>
      </c>
      <c r="C14" s="1" t="n">
        <v>45513</v>
      </c>
      <c r="D14" t="inlineStr">
        <is>
          <t>VÄSTRA GÖTALANDS LÄN</t>
        </is>
      </c>
      <c r="E14" t="inlineStr">
        <is>
          <t>STRÖMSTAD</t>
        </is>
      </c>
      <c r="G14" t="n">
        <v>1.2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Grönpyrola</t>
        </is>
      </c>
      <c r="S14">
        <f>HYPERLINK("https://klasma.github.io/Logging_1486/artfynd/A 14449-2024 artfynd.xlsx", "A 14449-2024")</f>
        <v/>
      </c>
      <c r="T14">
        <f>HYPERLINK("https://klasma.github.io/Logging_1486/kartor/A 14449-2024 karta.png", "A 14449-2024")</f>
        <v/>
      </c>
      <c r="U14">
        <f>HYPERLINK("https://klasma.github.io/Logging_1486/knärot/A 14449-2024 karta knärot.png", "A 14449-2024")</f>
        <v/>
      </c>
      <c r="V14">
        <f>HYPERLINK("https://klasma.github.io/Logging_1486/klagomål/A 14449-2024 FSC-klagomål.docx", "A 14449-2024")</f>
        <v/>
      </c>
      <c r="W14">
        <f>HYPERLINK("https://klasma.github.io/Logging_1486/klagomålsmail/A 14449-2024 FSC-klagomål mail.docx", "A 14449-2024")</f>
        <v/>
      </c>
      <c r="X14">
        <f>HYPERLINK("https://klasma.github.io/Logging_1486/tillsyn/A 14449-2024 tillsynsbegäran.docx", "A 14449-2024")</f>
        <v/>
      </c>
      <c r="Y14">
        <f>HYPERLINK("https://klasma.github.io/Logging_1486/tillsynsmail/A 14449-2024 tillsynsbegäran mail.docx", "A 14449-2024")</f>
        <v/>
      </c>
      <c r="Z14">
        <f>HYPERLINK("https://klasma.github.io/Logging_1486/fåglar/A 14449-2024 prioriterade fågelarter.docx", "A 14449-2024")</f>
        <v/>
      </c>
    </row>
    <row r="15" ht="15" customHeight="1">
      <c r="A15" t="inlineStr">
        <is>
          <t>A 34860-2019</t>
        </is>
      </c>
      <c r="B15" s="1" t="n">
        <v>43658</v>
      </c>
      <c r="C15" s="1" t="n">
        <v>45513</v>
      </c>
      <c r="D15" t="inlineStr">
        <is>
          <t>VÄSTRA GÖTALANDS LÄN</t>
        </is>
      </c>
      <c r="E15" t="inlineStr">
        <is>
          <t>STRÖMSTAD</t>
        </is>
      </c>
      <c r="G15" t="n">
        <v>11.5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HYPERLINK("https://klasma.github.io/Logging_1486/artfynd/A 34860-2019 artfynd.xlsx", "A 34860-2019")</f>
        <v/>
      </c>
      <c r="T15">
        <f>HYPERLINK("https://klasma.github.io/Logging_1486/kartor/A 34860-2019 karta.png", "A 34860-2019")</f>
        <v/>
      </c>
      <c r="V15">
        <f>HYPERLINK("https://klasma.github.io/Logging_1486/klagomål/A 34860-2019 FSC-klagomål.docx", "A 34860-2019")</f>
        <v/>
      </c>
      <c r="W15">
        <f>HYPERLINK("https://klasma.github.io/Logging_1486/klagomålsmail/A 34860-2019 FSC-klagomål mail.docx", "A 34860-2019")</f>
        <v/>
      </c>
      <c r="X15">
        <f>HYPERLINK("https://klasma.github.io/Logging_1486/tillsyn/A 34860-2019 tillsynsbegäran.docx", "A 34860-2019")</f>
        <v/>
      </c>
      <c r="Y15">
        <f>HYPERLINK("https://klasma.github.io/Logging_1486/tillsynsmail/A 34860-2019 tillsynsbegäran mail.docx", "A 34860-2019")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45513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45513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45513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45513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45513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45513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45513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45513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45513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45513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45513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45513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45513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45513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45513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45513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45513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45513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45513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45513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45513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45513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45513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45513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45513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45513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45513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45513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45513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45513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45513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45513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45513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45513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45513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45513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45513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45513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45513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45513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45513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45513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45513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45513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45513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45513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45513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45513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45513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45513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45513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45513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45513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45513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45513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45513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45513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45513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45513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45513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45513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45513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45513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45513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45513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45513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45513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45513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45513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45513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45513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45513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45513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45513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45513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45513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45513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45513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45513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45513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45513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45513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45513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45513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45513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45513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45513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45513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45513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45513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45513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45513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45513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45513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45513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45513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45513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45513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45513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45513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45513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45513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45513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45513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45513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45513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45513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45513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45513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45513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45513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45513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45513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45513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45513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45513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45513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45513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45513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45513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45513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45513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45513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45513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45513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45513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45513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45513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45513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45513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45513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45513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45513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45513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45513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45513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45513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45513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45513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45513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45513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45513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45513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45513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45513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45513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45513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45513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45513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45513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45513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45513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45513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45513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45513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45513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45513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45513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45513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45513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45513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45513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45513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45513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45513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45513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45513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45513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45513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45513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45513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45513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45513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45513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45513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45513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45513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45513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45513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45513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45513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45513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45513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45513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45513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45513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45513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45513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45513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45513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45513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45513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45513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45513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45513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45513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45513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45513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45513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45513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45513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45513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45513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45513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45513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45513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45513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45513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45513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45513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45513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45513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45513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45513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45513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45513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45513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45513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45513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45513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45513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45513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45513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45513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45513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45513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45513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45513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45513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45513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45513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45513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45513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45513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45513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45513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45513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45513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45513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45513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45513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45513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45513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45513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45513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45513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45513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45513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45513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45513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45513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45513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45513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45513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45513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45513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45513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45513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45513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45513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45513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32281-2024</t>
        </is>
      </c>
      <c r="B277" s="1" t="n">
        <v>45512</v>
      </c>
      <c r="C277" s="1" t="n">
        <v>45513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2024-08-09T10:41:10Z</dcterms:created>
  <dcterms:modified xmlns:dcterms="http://purl.org/dc/terms/" xmlns:xsi="http://www.w3.org/2001/XMLSchema-instance" xsi:type="dcterms:W3CDTF">2024-08-09T10:41:10Z</dcterms:modified>
</cp:coreProperties>
</file>