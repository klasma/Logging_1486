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46232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46232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46232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46232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46232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46232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56318-2025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45974</v>
      </c>
      <c r="E16" s="1" t="n">
        <v>46232</v>
      </c>
      <c r="F16" t="inlineStr">
        <is>
          <t>VÄSTRA GÖTALANDS LÄN</t>
        </is>
      </c>
      <c r="G16" t="inlineStr">
        <is>
          <t>STRÖMSTAD</t>
        </is>
      </c>
      <c r="I16" t="n">
        <v>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Kopparödla</t>
        </is>
      </c>
      <c r="W16">
        <f>HYPERLINK("https://klasma.github.io/Logging_1486/artfynd/A 56318-2025 artfynd.xlsx", "A 56318-2025")</f>
        <v/>
      </c>
      <c r="X16">
        <f>HYPERLINK("https://klasma.github.io/Logging_1486/kartor/A 56318-2025 karta.png", "A 56318-2025")</f>
        <v/>
      </c>
      <c r="Y16">
        <f>HYPERLINK("https://klasma.github.io/Logging_1486/kartor_geotiff/A 56318-2025 georefererad karta.tif", "A 56318-2025")</f>
        <v/>
      </c>
      <c r="AA16">
        <f>HYPERLINK("https://klasma.github.io/Logging_1486/klagomål/A 56318-2025 FSC-klagomål.docx", "A 56318-2025")</f>
        <v/>
      </c>
      <c r="AB16">
        <f>HYPERLINK("https://klasma.github.io/Logging_1486/klagomålsmail/A 56318-2025 FSC-klagomål mail.docx", "A 56318-2025")</f>
        <v/>
      </c>
      <c r="AC16">
        <f>HYPERLINK("https://klasma.github.io/Logging_1486/tillsyn/A 56318-2025 tillsynsbegäran.docx", "A 56318-2025")</f>
        <v/>
      </c>
      <c r="AD16">
        <f>HYPERLINK("https://klasma.github.io/Logging_1486/tillsynsmail/A 56318-2025 tillsynsbegäran mail.docx", "A 56318-2025")</f>
        <v/>
      </c>
      <c r="AE16">
        <f>HYPERLINK("https://klasma.github.io/Logging_1486/fåglar/A 56318-2025 prioriterade fågelarter.docx", "A 56318-2025")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46232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46232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46232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46232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46232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46232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46232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53485-2023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46232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HYPERLINK("https://klasma.github.io/Logging_1486/artfynd/A 53485-2023 artfynd.xlsx", "A 53485-2023")</f>
        <v/>
      </c>
      <c r="X24">
        <f>HYPERLINK("https://klasma.github.io/Logging_1486/kartor/A 53485-2023 karta.png", "A 53485-2023")</f>
        <v/>
      </c>
      <c r="Y24">
        <f>HYPERLINK("https://klasma.github.io/Logging_1486/kartor_geotiff/A 53485-2023 georefererad karta.tif", "A 53485-2023")</f>
        <v/>
      </c>
      <c r="AA24">
        <f>HYPERLINK("https://klasma.github.io/Logging_1486/klagomål/A 53485-2023 FSC-klagomål.docx", "A 53485-2023")</f>
        <v/>
      </c>
      <c r="AB24">
        <f>HYPERLINK("https://klasma.github.io/Logging_1486/klagomålsmail/A 53485-2023 FSC-klagomål mail.docx", "A 53485-2023")</f>
        <v/>
      </c>
      <c r="AC24">
        <f>HYPERLINK("https://klasma.github.io/Logging_1486/tillsyn/A 53485-2023 tillsynsbegäran.docx", "A 53485-2023")</f>
        <v/>
      </c>
      <c r="AD24">
        <f>HYPERLINK("https://klasma.github.io/Logging_1486/tillsynsmail/A 53485-2023 tillsynsbegäran mail.docx", "A 53485-2023")</f>
        <v/>
      </c>
      <c r="AE24">
        <f>HYPERLINK("https://klasma.github.io/Logging_1486/fåglar/A 53485-2023 prioriterade fågelarter.docx", "A 53485-2023")</f>
        <v/>
      </c>
    </row>
    <row r="25" ht="15" customHeight="1">
      <c r="A25" t="inlineStr">
        <is>
          <t>A 10764-2024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45369</v>
      </c>
      <c r="E25" s="1" t="n">
        <v>46232</v>
      </c>
      <c r="F25" t="inlineStr">
        <is>
          <t>VÄSTRA GÖTALANDS LÄN</t>
        </is>
      </c>
      <c r="G25" t="inlineStr">
        <is>
          <t>STRÖMSTAD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10764-2024 artfynd.xlsx", "A 10764-2024")</f>
        <v/>
      </c>
      <c r="X25">
        <f>HYPERLINK("https://klasma.github.io/Logging_1486/kartor/A 10764-2024 karta.png", "A 10764-2024")</f>
        <v/>
      </c>
      <c r="Y25">
        <f>HYPERLINK("https://klasma.github.io/Logging_1486/kartor_geotiff/A 10764-2024 georefererad karta.tif", "A 10764-2024")</f>
        <v/>
      </c>
      <c r="AA25">
        <f>HYPERLINK("https://klasma.github.io/Logging_1486/klagomål/A 10764-2024 FSC-klagomål.docx", "A 10764-2024")</f>
        <v/>
      </c>
      <c r="AB25">
        <f>HYPERLINK("https://klasma.github.io/Logging_1486/klagomålsmail/A 10764-2024 FSC-klagomål mail.docx", "A 10764-2024")</f>
        <v/>
      </c>
      <c r="AC25">
        <f>HYPERLINK("https://klasma.github.io/Logging_1486/tillsyn/A 10764-2024 tillsynsbegäran.docx", "A 10764-2024")</f>
        <v/>
      </c>
      <c r="AD25">
        <f>HYPERLINK("https://klasma.github.io/Logging_1486/tillsynsmail/A 10764-2024 tillsynsbegäran mail.docx", "A 10764-2024")</f>
        <v/>
      </c>
    </row>
    <row r="26" ht="15" customHeight="1">
      <c r="A26" t="inlineStr">
        <is>
          <t>A 24514-2024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45458</v>
      </c>
      <c r="E26" s="1" t="n">
        <v>46232</v>
      </c>
      <c r="F26" t="inlineStr">
        <is>
          <t>VÄSTRA GÖTALANDS LÄN</t>
        </is>
      </c>
      <c r="G26" t="inlineStr">
        <is>
          <t>STRÖMSTAD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HYPERLINK("https://klasma.github.io/Logging_1486/artfynd/A 24514-2024 artfynd.xlsx", "A 24514-2024")</f>
        <v/>
      </c>
      <c r="X26">
        <f>HYPERLINK("https://klasma.github.io/Logging_1486/kartor/A 24514-2024 karta.png", "A 24514-2024")</f>
        <v/>
      </c>
      <c r="Y26">
        <f>HYPERLINK("https://klasma.github.io/Logging_1486/kartor_geotiff/A 24514-2024 georefererad karta.tif", "A 24514-2024")</f>
        <v/>
      </c>
      <c r="AA26">
        <f>HYPERLINK("https://klasma.github.io/Logging_1486/klagomål/A 24514-2024 FSC-klagomål.docx", "A 24514-2024")</f>
        <v/>
      </c>
      <c r="AB26">
        <f>HYPERLINK("https://klasma.github.io/Logging_1486/klagomålsmail/A 24514-2024 FSC-klagomål mail.docx", "A 24514-2024")</f>
        <v/>
      </c>
      <c r="AC26">
        <f>HYPERLINK("https://klasma.github.io/Logging_1486/tillsyn/A 24514-2024 tillsynsbegäran.docx", "A 24514-2024")</f>
        <v/>
      </c>
      <c r="AD26">
        <f>HYPERLINK("https://klasma.github.io/Logging_1486/tillsynsmail/A 24514-2024 tillsynsbegäran mail.docx", "A 24514-2024")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46232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46232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46232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46232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46232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46232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46232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46232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46232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46232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46232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46232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46232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46232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46232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46232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46232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46232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46232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46232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46232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46232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46232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46232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46232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46232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46232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46232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45646</v>
      </c>
      <c r="E58" s="1" t="n">
        <v>46232</v>
      </c>
      <c r="F58" t="inlineStr">
        <is>
          <t>VÄSTRA GÖTALANDS LÄN</t>
        </is>
      </c>
      <c r="G58" t="inlineStr">
        <is>
          <t>STRÖMSTAD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46232</v>
      </c>
      <c r="F59" t="inlineStr">
        <is>
          <t>VÄSTRA GÖTALANDS LÄN</t>
        </is>
      </c>
      <c r="G59" t="inlineStr">
        <is>
          <t>STRÖMSTAD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46232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46232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46232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46232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46232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46232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46232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46232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46232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46232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46232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46232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46232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46232</v>
      </c>
      <c r="F73" t="inlineStr">
        <is>
          <t>VÄSTRA GÖTALANDS LÄN</t>
        </is>
      </c>
      <c r="G73" t="inlineStr">
        <is>
          <t>STRÖMSTAD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46029</v>
      </c>
      <c r="E74" s="1" t="n">
        <v>46232</v>
      </c>
      <c r="F74" t="inlineStr">
        <is>
          <t>VÄSTRA GÖTALANDS LÄN</t>
        </is>
      </c>
      <c r="G74" t="inlineStr">
        <is>
          <t>STRÖMSTAD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45018</v>
      </c>
      <c r="E75" s="1" t="n">
        <v>46232</v>
      </c>
      <c r="F75" t="inlineStr">
        <is>
          <t>VÄSTRA GÖTALANDS LÄN</t>
        </is>
      </c>
      <c r="G75" t="inlineStr">
        <is>
          <t>STRÖMSTAD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44649</v>
      </c>
      <c r="E76" s="1" t="n">
        <v>46232</v>
      </c>
      <c r="F76" t="inlineStr">
        <is>
          <t>VÄSTRA GÖTALANDS LÄN</t>
        </is>
      </c>
      <c r="G76" t="inlineStr">
        <is>
          <t>STRÖMSTAD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46232</v>
      </c>
      <c r="F77" t="inlineStr">
        <is>
          <t>VÄSTRA GÖTALANDS LÄN</t>
        </is>
      </c>
      <c r="G77" t="inlineStr">
        <is>
          <t>STRÖMSTAD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46035</v>
      </c>
      <c r="E78" s="1" t="n">
        <v>46232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46034</v>
      </c>
      <c r="E79" s="1" t="n">
        <v>46232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16216-2025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46232</v>
      </c>
      <c r="F80" t="inlineStr">
        <is>
          <t>VÄSTRA GÖTALANDS LÄN</t>
        </is>
      </c>
      <c r="G80" t="inlineStr">
        <is>
          <t>STRÖMSTAD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46232</v>
      </c>
      <c r="F81" t="inlineStr">
        <is>
          <t>VÄSTRA GÖTALANDS LÄN</t>
        </is>
      </c>
      <c r="G81" t="inlineStr">
        <is>
          <t>STRÖMSTAD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46036</v>
      </c>
      <c r="E82" s="1" t="n">
        <v>46232</v>
      </c>
      <c r="F82" t="inlineStr">
        <is>
          <t>VÄSTRA GÖTALANDS LÄN</t>
        </is>
      </c>
      <c r="G82" t="inlineStr">
        <is>
          <t>STRÖMSTAD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46036</v>
      </c>
      <c r="E83" s="1" t="n">
        <v>46232</v>
      </c>
      <c r="F83" t="inlineStr">
        <is>
          <t>VÄSTRA GÖTALANDS LÄN</t>
        </is>
      </c>
      <c r="G83" t="inlineStr">
        <is>
          <t>STRÖMSTAD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46232</v>
      </c>
      <c r="F84" t="inlineStr">
        <is>
          <t>VÄSTRA GÖTALANDS LÄN</t>
        </is>
      </c>
      <c r="G84" t="inlineStr">
        <is>
          <t>STRÖMSTAD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46232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46232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46232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46232</v>
      </c>
      <c r="F88" t="inlineStr">
        <is>
          <t>VÄSTRA GÖTALANDS LÄN</t>
        </is>
      </c>
      <c r="G88" t="inlineStr">
        <is>
          <t>STRÖMSTAD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46232</v>
      </c>
      <c r="F89" t="inlineStr">
        <is>
          <t>VÄSTRA GÖTALANDS LÄN</t>
        </is>
      </c>
      <c r="G89" t="inlineStr">
        <is>
          <t>STRÖMSTAD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46232</v>
      </c>
      <c r="F90" t="inlineStr">
        <is>
          <t>VÄSTRA GÖTALANDS LÄN</t>
        </is>
      </c>
      <c r="G90" t="inlineStr">
        <is>
          <t>STRÖMSTAD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46232</v>
      </c>
      <c r="F91" t="inlineStr">
        <is>
          <t>VÄSTRA GÖTALANDS LÄN</t>
        </is>
      </c>
      <c r="G91" t="inlineStr">
        <is>
          <t>STRÖMSTAD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46232</v>
      </c>
      <c r="F92" t="inlineStr">
        <is>
          <t>VÄSTRA GÖTALANDS LÄN</t>
        </is>
      </c>
      <c r="G92" t="inlineStr">
        <is>
          <t>STRÖMSTAD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45057</v>
      </c>
      <c r="E93" s="1" t="n">
        <v>46232</v>
      </c>
      <c r="F93" t="inlineStr">
        <is>
          <t>VÄSTRA GÖTALANDS LÄN</t>
        </is>
      </c>
      <c r="G93" t="inlineStr">
        <is>
          <t>STRÖMSTAD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44459</v>
      </c>
      <c r="E94" s="1" t="n">
        <v>46232</v>
      </c>
      <c r="F94" t="inlineStr">
        <is>
          <t>VÄSTRA GÖTALANDS LÄN</t>
        </is>
      </c>
      <c r="G94" t="inlineStr">
        <is>
          <t>STRÖMSTAD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46232</v>
      </c>
      <c r="F95" t="inlineStr">
        <is>
          <t>VÄSTRA GÖTALANDS LÄN</t>
        </is>
      </c>
      <c r="G95" t="inlineStr">
        <is>
          <t>STRÖMSTAD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46232</v>
      </c>
      <c r="F96" t="inlineStr">
        <is>
          <t>VÄSTRA GÖTALANDS LÄN</t>
        </is>
      </c>
      <c r="G96" t="inlineStr">
        <is>
          <t>STRÖMSTAD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46232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46232</v>
      </c>
      <c r="F98" t="inlineStr">
        <is>
          <t>VÄSTRA GÖTALANDS LÄN</t>
        </is>
      </c>
      <c r="G98" t="inlineStr">
        <is>
          <t>STRÖMSTAD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46232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46232</v>
      </c>
      <c r="F100" t="inlineStr">
        <is>
          <t>VÄSTRA GÖTALANDS LÄN</t>
        </is>
      </c>
      <c r="G100" t="inlineStr">
        <is>
          <t>STRÖMSTAD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46232</v>
      </c>
      <c r="F101" t="inlineStr">
        <is>
          <t>VÄSTRA GÖTALANDS LÄN</t>
        </is>
      </c>
      <c r="G101" t="inlineStr">
        <is>
          <t>STRÖMSTAD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46232</v>
      </c>
      <c r="F102" t="inlineStr">
        <is>
          <t>VÄSTRA GÖTALANDS LÄN</t>
        </is>
      </c>
      <c r="G102" t="inlineStr">
        <is>
          <t>STRÖMSTAD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46232</v>
      </c>
      <c r="F103" t="inlineStr">
        <is>
          <t>VÄSTRA GÖTALANDS LÄN</t>
        </is>
      </c>
      <c r="G103" t="inlineStr">
        <is>
          <t>STRÖMSTAD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46232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46232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7466-2026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46232</v>
      </c>
      <c r="F106" t="inlineStr">
        <is>
          <t>VÄSTRA GÖTALANDS LÄN</t>
        </is>
      </c>
      <c r="G106" t="inlineStr">
        <is>
          <t>STRÖMSTAD</t>
        </is>
      </c>
      <c r="H106" t="inlineStr">
        <is>
          <t>Kommuner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45316</v>
      </c>
      <c r="E107" s="1" t="n">
        <v>46232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46063</v>
      </c>
      <c r="E108" s="1" t="n">
        <v>46232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46232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46063</v>
      </c>
      <c r="E110" s="1" t="n">
        <v>46232</v>
      </c>
      <c r="F110" t="inlineStr">
        <is>
          <t>VÄSTRA GÖTALANDS LÄN</t>
        </is>
      </c>
      <c r="G110" t="inlineStr">
        <is>
          <t>STRÖMSTAD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46232</v>
      </c>
      <c r="F111" t="inlineStr">
        <is>
          <t>VÄSTRA GÖTALANDS LÄN</t>
        </is>
      </c>
      <c r="G111" t="inlineStr">
        <is>
          <t>STRÖMSTAD</t>
        </is>
      </c>
      <c r="H111" t="inlineStr">
        <is>
          <t>Kommuner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45638</v>
      </c>
      <c r="E112" s="1" t="n">
        <v>46232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45133</v>
      </c>
      <c r="E113" s="1" t="n">
        <v>46232</v>
      </c>
      <c r="F113" t="inlineStr">
        <is>
          <t>VÄSTRA GÖTALANDS LÄN</t>
        </is>
      </c>
      <c r="G113" t="inlineStr">
        <is>
          <t>STRÖMSTAD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46232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45331</v>
      </c>
      <c r="E115" s="1" t="n">
        <v>46232</v>
      </c>
      <c r="F115" t="inlineStr">
        <is>
          <t>VÄSTRA GÖTALANDS LÄN</t>
        </is>
      </c>
      <c r="G115" t="inlineStr">
        <is>
          <t>STRÖMSTAD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55830-2025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45972</v>
      </c>
      <c r="E116" s="1" t="n">
        <v>46232</v>
      </c>
      <c r="F116" t="inlineStr">
        <is>
          <t>VÄSTRA GÖTALANDS LÄN</t>
        </is>
      </c>
      <c r="G116" t="inlineStr">
        <is>
          <t>STRÖMSTAD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46232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46232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46232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44907</v>
      </c>
      <c r="E120" s="1" t="n">
        <v>46232</v>
      </c>
      <c r="F120" t="inlineStr">
        <is>
          <t>VÄSTRA GÖTALANDS LÄN</t>
        </is>
      </c>
      <c r="G120" t="inlineStr">
        <is>
          <t>STRÖMSTAD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44701</v>
      </c>
      <c r="E121" s="1" t="n">
        <v>46232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46232</v>
      </c>
      <c r="F122" t="inlineStr">
        <is>
          <t>VÄSTRA GÖTALANDS LÄN</t>
        </is>
      </c>
      <c r="G122" t="inlineStr">
        <is>
          <t>STRÖMSTAD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46232</v>
      </c>
      <c r="F123" t="inlineStr">
        <is>
          <t>VÄSTRA GÖTALANDS LÄN</t>
        </is>
      </c>
      <c r="G123" t="inlineStr">
        <is>
          <t>STRÖMSTAD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46232</v>
      </c>
      <c r="F124" t="inlineStr">
        <is>
          <t>VÄSTRA GÖTALANDS LÄN</t>
        </is>
      </c>
      <c r="G124" t="inlineStr">
        <is>
          <t>STRÖMSTAD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44621</v>
      </c>
      <c r="E125" s="1" t="n">
        <v>46232</v>
      </c>
      <c r="F125" t="inlineStr">
        <is>
          <t>VÄSTRA GÖTALANDS LÄN</t>
        </is>
      </c>
      <c r="G125" t="inlineStr">
        <is>
          <t>STRÖMSTAD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45126</v>
      </c>
      <c r="E126" s="1" t="n">
        <v>46232</v>
      </c>
      <c r="F126" t="inlineStr">
        <is>
          <t>VÄSTRA GÖTALANDS LÄN</t>
        </is>
      </c>
      <c r="G126" t="inlineStr">
        <is>
          <t>STRÖMSTAD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46232</v>
      </c>
      <c r="F127" t="inlineStr">
        <is>
          <t>VÄSTRA GÖTALANDS LÄN</t>
        </is>
      </c>
      <c r="G127" t="inlineStr">
        <is>
          <t>STRÖMSTAD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46232</v>
      </c>
      <c r="F128" t="inlineStr">
        <is>
          <t>VÄSTRA GÖTALANDS LÄN</t>
        </is>
      </c>
      <c r="G128" t="inlineStr">
        <is>
          <t>STRÖMSTAD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46232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46232</v>
      </c>
      <c r="F130" t="inlineStr">
        <is>
          <t>VÄSTRA GÖTALANDS LÄN</t>
        </is>
      </c>
      <c r="G130" t="inlineStr">
        <is>
          <t>STRÖMSTAD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14456-2026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46232</v>
      </c>
      <c r="F131" t="inlineStr">
        <is>
          <t>VÄSTRA GÖTALANDS LÄN</t>
        </is>
      </c>
      <c r="G131" t="inlineStr">
        <is>
          <t>STRÖMSTAD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46232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46232</v>
      </c>
      <c r="F133" t="inlineStr">
        <is>
          <t>VÄSTRA GÖTALANDS LÄN</t>
        </is>
      </c>
      <c r="G133" t="inlineStr">
        <is>
          <t>STRÖMSTAD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46232</v>
      </c>
      <c r="F134" t="inlineStr">
        <is>
          <t>VÄSTRA GÖTALANDS LÄN</t>
        </is>
      </c>
      <c r="G134" t="inlineStr">
        <is>
          <t>STRÖMSTAD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46232</v>
      </c>
      <c r="F135" t="inlineStr">
        <is>
          <t>VÄSTRA GÖTALANDS LÄN</t>
        </is>
      </c>
      <c r="G135" t="inlineStr">
        <is>
          <t>STRÖMSTAD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46232</v>
      </c>
      <c r="F136" t="inlineStr">
        <is>
          <t>VÄSTRA GÖTALANDS LÄN</t>
        </is>
      </c>
      <c r="G136" t="inlineStr">
        <is>
          <t>STRÖMSTAD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50034-2022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46232</v>
      </c>
      <c r="F137" t="inlineStr">
        <is>
          <t>VÄSTRA GÖTALANDS LÄN</t>
        </is>
      </c>
      <c r="G137" t="inlineStr">
        <is>
          <t>STRÖMSTAD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44892</v>
      </c>
      <c r="E138" s="1" t="n">
        <v>46232</v>
      </c>
      <c r="F138" t="inlineStr">
        <is>
          <t>VÄSTRA GÖTALANDS LÄN</t>
        </is>
      </c>
      <c r="G138" t="inlineStr">
        <is>
          <t>STRÖMSTAD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46103</v>
      </c>
      <c r="E139" s="1" t="n">
        <v>46232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45407</v>
      </c>
      <c r="E140" s="1" t="n">
        <v>46232</v>
      </c>
      <c r="F140" t="inlineStr">
        <is>
          <t>VÄSTRA GÖTALANDS LÄN</t>
        </is>
      </c>
      <c r="G140" t="inlineStr">
        <is>
          <t>STRÖMSTAD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45748</v>
      </c>
      <c r="E141" s="1" t="n">
        <v>46232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46232</v>
      </c>
      <c r="F142" t="inlineStr">
        <is>
          <t>VÄSTRA GÖTALANDS LÄN</t>
        </is>
      </c>
      <c r="G142" t="inlineStr">
        <is>
          <t>STRÖMSTAD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45764</v>
      </c>
      <c r="E143" s="1" t="n">
        <v>46232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46232</v>
      </c>
      <c r="F144" t="inlineStr">
        <is>
          <t>VÄSTRA GÖTALANDS LÄN</t>
        </is>
      </c>
      <c r="G144" t="inlineStr">
        <is>
          <t>STRÖMSTAD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46232</v>
      </c>
      <c r="F145" t="inlineStr">
        <is>
          <t>VÄSTRA GÖTALANDS LÄN</t>
        </is>
      </c>
      <c r="G145" t="inlineStr">
        <is>
          <t>STRÖMSTAD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46232</v>
      </c>
      <c r="F146" t="inlineStr">
        <is>
          <t>VÄSTRA GÖTALANDS LÄN</t>
        </is>
      </c>
      <c r="G146" t="inlineStr">
        <is>
          <t>STRÖMSTAD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46232</v>
      </c>
      <c r="F147" t="inlineStr">
        <is>
          <t>VÄSTRA GÖTALANDS LÄN</t>
        </is>
      </c>
      <c r="G147" t="inlineStr">
        <is>
          <t>STRÖMSTAD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46232</v>
      </c>
      <c r="F148" t="inlineStr">
        <is>
          <t>VÄSTRA GÖTALANDS LÄN</t>
        </is>
      </c>
      <c r="G148" t="inlineStr">
        <is>
          <t>STRÖMSTAD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46232</v>
      </c>
      <c r="F149" t="inlineStr">
        <is>
          <t>VÄSTRA GÖTALANDS LÄN</t>
        </is>
      </c>
      <c r="G149" t="inlineStr">
        <is>
          <t>STRÖMSTAD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46232</v>
      </c>
      <c r="F150" t="inlineStr">
        <is>
          <t>VÄSTRA GÖTALANDS LÄN</t>
        </is>
      </c>
      <c r="G150" t="inlineStr">
        <is>
          <t>STRÖMSTAD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46232</v>
      </c>
      <c r="F151" t="inlineStr">
        <is>
          <t>VÄSTRA GÖTALANDS LÄN</t>
        </is>
      </c>
      <c r="G151" t="inlineStr">
        <is>
          <t>STRÖMSTAD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46232</v>
      </c>
      <c r="F152" t="inlineStr">
        <is>
          <t>VÄSTRA GÖTALANDS LÄN</t>
        </is>
      </c>
      <c r="G152" t="inlineStr">
        <is>
          <t>STRÖMSTAD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46232</v>
      </c>
      <c r="F153" t="inlineStr">
        <is>
          <t>VÄSTRA GÖTALANDS LÄN</t>
        </is>
      </c>
      <c r="G153" t="inlineStr">
        <is>
          <t>STRÖMSTAD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46232</v>
      </c>
      <c r="F154" t="inlineStr">
        <is>
          <t>VÄSTRA GÖTALANDS LÄN</t>
        </is>
      </c>
      <c r="G154" t="inlineStr">
        <is>
          <t>STRÖMSTAD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46232</v>
      </c>
      <c r="F155" t="inlineStr">
        <is>
          <t>VÄSTRA GÖTALANDS LÄN</t>
        </is>
      </c>
      <c r="G155" t="inlineStr">
        <is>
          <t>STRÖMSTAD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46232</v>
      </c>
      <c r="F156" t="inlineStr">
        <is>
          <t>VÄSTRA GÖTALANDS LÄN</t>
        </is>
      </c>
      <c r="G156" t="inlineStr">
        <is>
          <t>STRÖMSTAD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46232</v>
      </c>
      <c r="F157" t="inlineStr">
        <is>
          <t>VÄSTRA GÖTALANDS LÄN</t>
        </is>
      </c>
      <c r="G157" t="inlineStr">
        <is>
          <t>STRÖMSTAD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46232</v>
      </c>
      <c r="F158" t="inlineStr">
        <is>
          <t>VÄSTRA GÖTALANDS LÄN</t>
        </is>
      </c>
      <c r="G158" t="inlineStr">
        <is>
          <t>STRÖMSTAD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46232</v>
      </c>
      <c r="F159" t="inlineStr">
        <is>
          <t>VÄSTRA GÖTALANDS LÄN</t>
        </is>
      </c>
      <c r="G159" t="inlineStr">
        <is>
          <t>STRÖMSTAD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46232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21755-2026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46232</v>
      </c>
      <c r="F161" t="inlineStr">
        <is>
          <t>VÄSTRA GÖTALANDS LÄN</t>
        </is>
      </c>
      <c r="G161" t="inlineStr">
        <is>
          <t>STRÖMSTAD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13109-2023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45002</v>
      </c>
      <c r="E162" s="1" t="n">
        <v>46232</v>
      </c>
      <c r="F162" t="inlineStr">
        <is>
          <t>VÄSTRA GÖTALANDS LÄN</t>
        </is>
      </c>
      <c r="G162" t="inlineStr">
        <is>
          <t>STRÖMSTAD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46232</v>
      </c>
      <c r="F163" t="inlineStr">
        <is>
          <t>VÄSTRA GÖTALANDS LÄN</t>
        </is>
      </c>
      <c r="G163" t="inlineStr">
        <is>
          <t>STRÖMSTAD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46232</v>
      </c>
      <c r="F164" t="inlineStr">
        <is>
          <t>VÄSTRA GÖTALANDS LÄN</t>
        </is>
      </c>
      <c r="G164" t="inlineStr">
        <is>
          <t>STRÖMSTAD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46232</v>
      </c>
      <c r="F165" t="inlineStr">
        <is>
          <t>VÄSTRA GÖTALANDS LÄN</t>
        </is>
      </c>
      <c r="G165" t="inlineStr">
        <is>
          <t>STRÖMSTAD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46150</v>
      </c>
      <c r="E166" s="1" t="n">
        <v>46232</v>
      </c>
      <c r="F166" t="inlineStr">
        <is>
          <t>VÄSTRA GÖTALANDS LÄN</t>
        </is>
      </c>
      <c r="G166" t="inlineStr">
        <is>
          <t>STRÖMSTAD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21839-2026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46232</v>
      </c>
      <c r="F167" t="inlineStr">
        <is>
          <t>VÄSTRA GÖTALANDS LÄN</t>
        </is>
      </c>
      <c r="G167" t="inlineStr">
        <is>
          <t>STRÖMSTAD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46232</v>
      </c>
      <c r="F168" t="inlineStr">
        <is>
          <t>VÄSTRA GÖTALANDS LÄN</t>
        </is>
      </c>
      <c r="G168" t="inlineStr">
        <is>
          <t>STRÖMSTAD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45482</v>
      </c>
      <c r="E169" s="1" t="n">
        <v>46232</v>
      </c>
      <c r="F169" t="inlineStr">
        <is>
          <t>VÄSTRA GÖTALANDS LÄN</t>
        </is>
      </c>
      <c r="G169" t="inlineStr">
        <is>
          <t>STRÖMSTAD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67875-2021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44525</v>
      </c>
      <c r="E170" s="1" t="n">
        <v>46232</v>
      </c>
      <c r="F170" t="inlineStr">
        <is>
          <t>VÄSTRA GÖTALANDS LÄN</t>
        </is>
      </c>
      <c r="G170" t="inlineStr">
        <is>
          <t>STRÖMSTAD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46232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46232</v>
      </c>
      <c r="F172" t="inlineStr">
        <is>
          <t>VÄSTRA GÖTALANDS LÄN</t>
        </is>
      </c>
      <c r="G172" t="inlineStr">
        <is>
          <t>STRÖMSTAD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22320-2026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46232</v>
      </c>
      <c r="F173" t="inlineStr">
        <is>
          <t>VÄSTRA GÖTALANDS LÄN</t>
        </is>
      </c>
      <c r="G173" t="inlineStr">
        <is>
          <t>STRÖMSTAD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46156</v>
      </c>
      <c r="E174" s="1" t="n">
        <v>46232</v>
      </c>
      <c r="F174" t="inlineStr">
        <is>
          <t>VÄSTRA GÖTALANDS LÄN</t>
        </is>
      </c>
      <c r="G174" t="inlineStr">
        <is>
          <t>STRÖMSTAD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46232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46161</v>
      </c>
      <c r="E176" s="1" t="n">
        <v>46232</v>
      </c>
      <c r="F176" t="inlineStr">
        <is>
          <t>VÄSTRA GÖTALANDS LÄN</t>
        </is>
      </c>
      <c r="G176" t="inlineStr">
        <is>
          <t>STRÖMSTAD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45483</v>
      </c>
      <c r="E177" s="1" t="n">
        <v>46232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46232</v>
      </c>
      <c r="F178" t="inlineStr">
        <is>
          <t>VÄSTRA GÖTALANDS LÄN</t>
        </is>
      </c>
      <c r="G178" t="inlineStr">
        <is>
          <t>STRÖMSTAD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46204</v>
      </c>
      <c r="E179" s="1" t="n">
        <v>46232</v>
      </c>
      <c r="F179" t="inlineStr">
        <is>
          <t>VÄSTRA GÖTALANDS LÄN</t>
        </is>
      </c>
      <c r="G179" t="inlineStr">
        <is>
          <t>STRÖMSTAD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46232</v>
      </c>
      <c r="F180" t="inlineStr">
        <is>
          <t>VÄSTRA GÖTALANDS LÄN</t>
        </is>
      </c>
      <c r="G180" t="inlineStr">
        <is>
          <t>STRÖMSTAD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45318</v>
      </c>
      <c r="E181" s="1" t="n">
        <v>46232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Kommuner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45061</v>
      </c>
      <c r="E182" s="1" t="n">
        <v>46232</v>
      </c>
      <c r="F182" t="inlineStr">
        <is>
          <t>VÄSTRA GÖTALANDS LÄN</t>
        </is>
      </c>
      <c r="G182" t="inlineStr">
        <is>
          <t>STRÖMSTAD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46232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46232</v>
      </c>
      <c r="F184" t="inlineStr">
        <is>
          <t>VÄSTRA GÖTALANDS LÄN</t>
        </is>
      </c>
      <c r="G184" t="inlineStr">
        <is>
          <t>STRÖMSTAD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46232</v>
      </c>
      <c r="F185" t="inlineStr">
        <is>
          <t>VÄSTRA GÖTALANDS LÄN</t>
        </is>
      </c>
      <c r="G185" t="inlineStr">
        <is>
          <t>STRÖMSTAD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46232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46232</v>
      </c>
      <c r="F187" t="inlineStr">
        <is>
          <t>VÄSTRA GÖTALANDS LÄN</t>
        </is>
      </c>
      <c r="G187" t="inlineStr">
        <is>
          <t>STRÖMSTAD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46232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46232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Kyrkan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46232</v>
      </c>
      <c r="F190" t="inlineStr">
        <is>
          <t>VÄSTRA GÖTALANDS LÄN</t>
        </is>
      </c>
      <c r="G190" t="inlineStr">
        <is>
          <t>STRÖMSTAD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46232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46232</v>
      </c>
      <c r="F192" t="inlineStr">
        <is>
          <t>VÄSTRA GÖTALANDS LÄN</t>
        </is>
      </c>
      <c r="G192" t="inlineStr">
        <is>
          <t>STRÖMSTAD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45301</v>
      </c>
      <c r="E193" s="1" t="n">
        <v>46232</v>
      </c>
      <c r="F193" t="inlineStr">
        <is>
          <t>VÄSTRA GÖTALANDS LÄN</t>
        </is>
      </c>
      <c r="G193" t="inlineStr">
        <is>
          <t>STRÖMSTAD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46232</v>
      </c>
      <c r="F194" t="inlineStr">
        <is>
          <t>VÄSTRA GÖTALANDS LÄN</t>
        </is>
      </c>
      <c r="G194" t="inlineStr">
        <is>
          <t>STRÖMSTAD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46232</v>
      </c>
      <c r="F195" t="inlineStr">
        <is>
          <t>VÄSTRA GÖTALANDS LÄN</t>
        </is>
      </c>
      <c r="G195" t="inlineStr">
        <is>
          <t>STRÖMSTAD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46232</v>
      </c>
      <c r="F196" t="inlineStr">
        <is>
          <t>VÄSTRA GÖTALANDS LÄN</t>
        </is>
      </c>
      <c r="G196" t="inlineStr">
        <is>
          <t>STRÖMSTAD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45243</v>
      </c>
      <c r="E197" s="1" t="n">
        <v>46232</v>
      </c>
      <c r="F197" t="inlineStr">
        <is>
          <t>VÄSTRA GÖTALANDS LÄN</t>
        </is>
      </c>
      <c r="G197" t="inlineStr">
        <is>
          <t>STRÖMSTAD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56130-2022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44886</v>
      </c>
      <c r="E198" s="1" t="n">
        <v>46232</v>
      </c>
      <c r="F198" t="inlineStr">
        <is>
          <t>VÄSTRA GÖTALANDS LÄN</t>
        </is>
      </c>
      <c r="G198" t="inlineStr">
        <is>
          <t>STRÖMSTAD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46232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46232</v>
      </c>
      <c r="F200" t="inlineStr">
        <is>
          <t>VÄSTRA GÖTALANDS LÄN</t>
        </is>
      </c>
      <c r="G200" t="inlineStr">
        <is>
          <t>STRÖMSTAD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46232</v>
      </c>
      <c r="F201" t="inlineStr">
        <is>
          <t>VÄSTRA GÖTALANDS LÄN</t>
        </is>
      </c>
      <c r="G201" t="inlineStr">
        <is>
          <t>STRÖMSTAD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46232</v>
      </c>
      <c r="F202" t="inlineStr">
        <is>
          <t>VÄSTRA GÖTALANDS LÄN</t>
        </is>
      </c>
      <c r="G202" t="inlineStr">
        <is>
          <t>STRÖMSTAD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46232</v>
      </c>
      <c r="F203" t="inlineStr">
        <is>
          <t>VÄSTRA GÖTALANDS LÄN</t>
        </is>
      </c>
      <c r="G203" t="inlineStr">
        <is>
          <t>STRÖMSTAD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46232</v>
      </c>
      <c r="F204" t="inlineStr">
        <is>
          <t>VÄSTRA GÖTALANDS LÄN</t>
        </is>
      </c>
      <c r="G204" t="inlineStr">
        <is>
          <t>STRÖMSTAD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46232</v>
      </c>
      <c r="F205" t="inlineStr">
        <is>
          <t>VÄSTRA GÖTALANDS LÄN</t>
        </is>
      </c>
      <c r="G205" t="inlineStr">
        <is>
          <t>STRÖMSTAD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46232</v>
      </c>
      <c r="F206" t="inlineStr">
        <is>
          <t>VÄSTRA GÖTALANDS LÄN</t>
        </is>
      </c>
      <c r="G206" t="inlineStr">
        <is>
          <t>STRÖMSTAD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46232</v>
      </c>
      <c r="F207" t="inlineStr">
        <is>
          <t>VÄSTRA GÖTALANDS LÄN</t>
        </is>
      </c>
      <c r="G207" t="inlineStr">
        <is>
          <t>STRÖMSTAD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46232</v>
      </c>
      <c r="F208" t="inlineStr">
        <is>
          <t>VÄSTRA GÖTALANDS LÄN</t>
        </is>
      </c>
      <c r="G208" t="inlineStr">
        <is>
          <t>STRÖMSTAD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3201-2023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45194</v>
      </c>
      <c r="E209" s="1" t="n">
        <v>46232</v>
      </c>
      <c r="F209" t="inlineStr">
        <is>
          <t>VÄSTRA GÖTALANDS LÄN</t>
        </is>
      </c>
      <c r="G209" t="inlineStr">
        <is>
          <t>STRÖMSTAD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4468-2022</t>
        </is>
      </c>
      <c r="B210" t="inlineStr">
        <is>
          <t>samrådsanmälan</t>
        </is>
      </c>
      <c r="C210" t="inlineStr">
        <is>
          <t>Skogsbilväg</t>
        </is>
      </c>
      <c r="D210" s="1" t="n">
        <v>44788</v>
      </c>
      <c r="E210" s="1" t="n">
        <v>46232</v>
      </c>
      <c r="F210" t="inlineStr">
        <is>
          <t>VÄSTRA GÖTALANDS LÄN</t>
        </is>
      </c>
      <c r="G210" t="inlineStr">
        <is>
          <t>STRÖMSTAD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>
      <c r="A211" t="inlineStr">
        <is>
          <t>S 85-2026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46036</v>
      </c>
      <c r="E211" s="1" t="n">
        <v>46232</v>
      </c>
      <c r="F211" t="inlineStr">
        <is>
          <t>VÄSTRA GÖTALANDS LÄN</t>
        </is>
      </c>
      <c r="G211" t="inlineStr">
        <is>
          <t>STRÖMSTAD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2026-07-29T01:50:02Z</dcterms:created>
  <dcterms:modified xmlns:dcterms="http://purl.org/dc/terms/" xmlns:xsi="http://www.w3.org/2001/XMLSchema-instance" xsi:type="dcterms:W3CDTF">2026-07-29T01:50:02Z</dcterms:modified>
</cp:coreProperties>
</file>