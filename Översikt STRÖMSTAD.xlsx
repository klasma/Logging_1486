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46255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46255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46255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46255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46255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46255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46255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46255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46255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46255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46255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46255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46255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46255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46255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46255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46255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46255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46255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33772-2023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46255</v>
      </c>
      <c r="F26" t="inlineStr">
        <is>
          <t>VÄSTRA GÖTALANDS LÄN</t>
        </is>
      </c>
      <c r="G26" t="inlineStr">
        <is>
          <t>STRÖMSTAD</t>
        </is>
      </c>
      <c r="I26" t="n">
        <v>2.2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Entita</t>
        </is>
      </c>
      <c r="W26">
        <f>HYPERLINK("https://klasma.github.io/Logging_1486/artfynd/A 33772-2023 artfynd.xlsx", "A 33772-2023")</f>
        <v/>
      </c>
      <c r="X26">
        <f>HYPERLINK("https://klasma.github.io/Logging_1486/kartor/A 33772-2023 karta.png", "A 33772-2023")</f>
        <v/>
      </c>
      <c r="Y26">
        <f>HYPERLINK("https://klasma.github.io/Logging_1486/kartor_geotiff/A 33772-2023 georefererad karta.tif", "A 33772-2023")</f>
        <v/>
      </c>
      <c r="AA26">
        <f>HYPERLINK("https://klasma.github.io/Logging_1486/klagomål/A 33772-2023 FSC-klagomål.docx", "A 33772-2023")</f>
        <v/>
      </c>
      <c r="AB26">
        <f>HYPERLINK("https://klasma.github.io/Logging_1486/klagomålsmail/A 33772-2023 FSC-klagomål mail.docx", "A 33772-2023")</f>
        <v/>
      </c>
      <c r="AC26">
        <f>HYPERLINK("https://klasma.github.io/Logging_1486/tillsyn/A 33772-2023 tillsynsbegäran.docx", "A 33772-2023")</f>
        <v/>
      </c>
      <c r="AD26">
        <f>HYPERLINK("https://klasma.github.io/Logging_1486/tillsynsmail/A 33772-2023 tillsynsbegäran mail.docx", "A 33772-2023")</f>
        <v/>
      </c>
      <c r="AE26">
        <f>HYPERLINK("https://klasma.github.io/Logging_1486/fåglar/A 33772-2023 prioriterade fågelarter.docx", "A 33772-2023")</f>
        <v/>
      </c>
    </row>
    <row r="27" ht="15" customHeight="1">
      <c r="A27" t="inlineStr">
        <is>
          <t>A 64707-2023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46255</v>
      </c>
      <c r="F27" t="inlineStr">
        <is>
          <t>VÄSTRA GÖTALANDS LÄN</t>
        </is>
      </c>
      <c r="G27" t="inlineStr">
        <is>
          <t>STRÖMSTAD</t>
        </is>
      </c>
      <c r="H27" t="inlineStr">
        <is>
          <t>Kommuner</t>
        </is>
      </c>
      <c r="I27" t="n">
        <v>11.9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HYPERLINK("https://klasma.github.io/Logging_1486/artfynd/A 64707-2023 artfynd.xlsx", "A 64707-2023")</f>
        <v/>
      </c>
      <c r="X27">
        <f>HYPERLINK("https://klasma.github.io/Logging_1486/kartor/A 64707-2023 karta.png", "A 64707-2023")</f>
        <v/>
      </c>
      <c r="Y27">
        <f>HYPERLINK("https://klasma.github.io/Logging_1486/kartor_geotiff/A 64707-2023 georefererad karta.tif", "A 64707-2023")</f>
        <v/>
      </c>
      <c r="Z27">
        <f>HYPERLINK("https://klasma.github.io/Logging_1486/knärot/A 64707-2023 karta knärot.png", "A 64707-2023")</f>
        <v/>
      </c>
      <c r="AA27">
        <f>HYPERLINK("https://klasma.github.io/Logging_1486/klagomål/A 64707-2023 FSC-klagomål.docx", "A 64707-2023")</f>
        <v/>
      </c>
      <c r="AB27">
        <f>HYPERLINK("https://klasma.github.io/Logging_1486/klagomålsmail/A 64707-2023 FSC-klagomål mail.docx", "A 64707-2023")</f>
        <v/>
      </c>
      <c r="AC27">
        <f>HYPERLINK("https://klasma.github.io/Logging_1486/tillsyn/A 64707-2023 tillsynsbegäran.docx", "A 64707-2023")</f>
        <v/>
      </c>
      <c r="AD27">
        <f>HYPERLINK("https://klasma.github.io/Logging_1486/tillsynsmail/A 64707-2023 tillsynsbegäran mail.docx", "A 64707-2023")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46255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46255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46255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46255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46255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46255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46255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46255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46255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46255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46255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46255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46255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46255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46255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46255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46255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46255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46255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46255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46255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46255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46255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46255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46255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46255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46255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46255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46255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46255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44848</v>
      </c>
      <c r="E58" s="1" t="n">
        <v>46255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46255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44435</v>
      </c>
      <c r="E60" s="1" t="n">
        <v>46255</v>
      </c>
      <c r="F60" t="inlineStr">
        <is>
          <t>VÄSTRA GÖTALANDS LÄN</t>
        </is>
      </c>
      <c r="G60" t="inlineStr">
        <is>
          <t>STRÖMSTAD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46255</v>
      </c>
      <c r="F61" t="inlineStr">
        <is>
          <t>VÄSTRA GÖTALANDS LÄN</t>
        </is>
      </c>
      <c r="G61" t="inlineStr">
        <is>
          <t>STRÖMSTAD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46255</v>
      </c>
      <c r="F62" t="inlineStr">
        <is>
          <t>VÄSTRA GÖTALANDS LÄN</t>
        </is>
      </c>
      <c r="G62" t="inlineStr">
        <is>
          <t>STRÖMSTAD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46255</v>
      </c>
      <c r="F63" t="inlineStr">
        <is>
          <t>VÄSTRA GÖTALANDS LÄN</t>
        </is>
      </c>
      <c r="G63" t="inlineStr">
        <is>
          <t>STRÖMSTAD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46255</v>
      </c>
      <c r="F64" t="inlineStr">
        <is>
          <t>VÄSTRA GÖTALANDS LÄN</t>
        </is>
      </c>
      <c r="G64" t="inlineStr">
        <is>
          <t>STRÖMSTAD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46255</v>
      </c>
      <c r="F65" t="inlineStr">
        <is>
          <t>VÄSTRA GÖTALANDS LÄN</t>
        </is>
      </c>
      <c r="G65" t="inlineStr">
        <is>
          <t>STRÖMSTAD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46255</v>
      </c>
      <c r="F66" t="inlineStr">
        <is>
          <t>VÄSTRA GÖTALANDS LÄN</t>
        </is>
      </c>
      <c r="G66" t="inlineStr">
        <is>
          <t>STRÖMSTAD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46255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8060-2026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46063</v>
      </c>
      <c r="E68" s="1" t="n">
        <v>46255</v>
      </c>
      <c r="F68" t="inlineStr">
        <is>
          <t>VÄSTRA GÖTALANDS LÄN</t>
        </is>
      </c>
      <c r="G68" t="inlineStr">
        <is>
          <t>STRÖMSTAD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46255</v>
      </c>
      <c r="F69" t="inlineStr">
        <is>
          <t>VÄSTRA GÖTALANDS LÄN</t>
        </is>
      </c>
      <c r="G69" t="inlineStr">
        <is>
          <t>STRÖMSTAD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45841</v>
      </c>
      <c r="E70" s="1" t="n">
        <v>46255</v>
      </c>
      <c r="F70" t="inlineStr">
        <is>
          <t>VÄSTRA GÖTALANDS LÄN</t>
        </is>
      </c>
      <c r="G70" t="inlineStr">
        <is>
          <t>STRÖMSTAD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46063</v>
      </c>
      <c r="E71" s="1" t="n">
        <v>46255</v>
      </c>
      <c r="F71" t="inlineStr">
        <is>
          <t>VÄSTRA GÖTALANDS LÄN</t>
        </is>
      </c>
      <c r="G71" t="inlineStr">
        <is>
          <t>STRÖMSTAD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46063</v>
      </c>
      <c r="E72" s="1" t="n">
        <v>46255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46255</v>
      </c>
      <c r="F73" t="inlineStr">
        <is>
          <t>VÄSTRA GÖTALANDS LÄN</t>
        </is>
      </c>
      <c r="G73" t="inlineStr">
        <is>
          <t>STRÖMSTAD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46255</v>
      </c>
      <c r="F74" t="inlineStr">
        <is>
          <t>VÄSTRA GÖTALANDS LÄN</t>
        </is>
      </c>
      <c r="G74" t="inlineStr">
        <is>
          <t>STRÖMSTAD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46255</v>
      </c>
      <c r="F75" t="inlineStr">
        <is>
          <t>VÄSTRA GÖTALANDS LÄN</t>
        </is>
      </c>
      <c r="G75" t="inlineStr">
        <is>
          <t>STRÖMSTAD</t>
        </is>
      </c>
      <c r="I75" t="n">
        <v>6.3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45578</v>
      </c>
      <c r="E76" s="1" t="n">
        <v>46255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46255</v>
      </c>
      <c r="F77" t="inlineStr">
        <is>
          <t>VÄSTRA GÖTALANDS LÄN</t>
        </is>
      </c>
      <c r="G77" t="inlineStr">
        <is>
          <t>STRÖMSTAD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46255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46255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46255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44987</v>
      </c>
      <c r="E81" s="1" t="n">
        <v>46255</v>
      </c>
      <c r="F81" t="inlineStr">
        <is>
          <t>VÄSTRA GÖTALANDS LÄN</t>
        </is>
      </c>
      <c r="G81" t="inlineStr">
        <is>
          <t>STRÖMSTAD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46255</v>
      </c>
      <c r="F82" t="inlineStr">
        <is>
          <t>VÄSTRA GÖTALANDS LÄN</t>
        </is>
      </c>
      <c r="G82" t="inlineStr">
        <is>
          <t>STRÖMSTAD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46255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46255</v>
      </c>
      <c r="F84" t="inlineStr">
        <is>
          <t>VÄSTRA GÖTALANDS LÄN</t>
        </is>
      </c>
      <c r="G84" t="inlineStr">
        <is>
          <t>STRÖMSTAD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46255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Kommuner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45189</v>
      </c>
      <c r="E86" s="1" t="n">
        <v>46255</v>
      </c>
      <c r="F86" t="inlineStr">
        <is>
          <t>VÄSTRA GÖTALANDS LÄN</t>
        </is>
      </c>
      <c r="G86" t="inlineStr">
        <is>
          <t>STRÖMSTAD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45133</v>
      </c>
      <c r="E87" s="1" t="n">
        <v>46255</v>
      </c>
      <c r="F87" t="inlineStr">
        <is>
          <t>VÄSTRA GÖTALANDS LÄN</t>
        </is>
      </c>
      <c r="G87" t="inlineStr">
        <is>
          <t>STRÖMSTAD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46255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Övriga Aktiebolag</t>
        </is>
      </c>
      <c r="I88" t="n">
        <v>14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46255</v>
      </c>
      <c r="F89" t="inlineStr">
        <is>
          <t>VÄSTRA GÖTALANDS LÄN</t>
        </is>
      </c>
      <c r="G89" t="inlineStr">
        <is>
          <t>STRÖMSTAD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46255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29329-2024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46255</v>
      </c>
      <c r="F91" t="inlineStr">
        <is>
          <t>VÄSTRA GÖTALANDS LÄN</t>
        </is>
      </c>
      <c r="G91" t="inlineStr">
        <is>
          <t>STRÖMSTAD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45750</v>
      </c>
      <c r="E92" s="1" t="n">
        <v>46255</v>
      </c>
      <c r="F92" t="inlineStr">
        <is>
          <t>VÄSTRA GÖTALANDS LÄN</t>
        </is>
      </c>
      <c r="G92" t="inlineStr">
        <is>
          <t>STRÖMSTAD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45678</v>
      </c>
      <c r="E93" s="1" t="n">
        <v>46255</v>
      </c>
      <c r="F93" t="inlineStr">
        <is>
          <t>VÄSTRA GÖTALANDS LÄN</t>
        </is>
      </c>
      <c r="G93" t="inlineStr">
        <is>
          <t>STRÖMSTAD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45057</v>
      </c>
      <c r="E94" s="1" t="n">
        <v>46255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19134-2025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45764</v>
      </c>
      <c r="E95" s="1" t="n">
        <v>46255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46255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46255</v>
      </c>
      <c r="F97" t="inlineStr">
        <is>
          <t>VÄSTRA GÖTALANDS LÄN</t>
        </is>
      </c>
      <c r="G97" t="inlineStr">
        <is>
          <t>STRÖMSTAD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46255</v>
      </c>
      <c r="F98" t="inlineStr">
        <is>
          <t>VÄSTRA GÖTALANDS LÄN</t>
        </is>
      </c>
      <c r="G98" t="inlineStr">
        <is>
          <t>STRÖMSTAD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45071</v>
      </c>
      <c r="E99" s="1" t="n">
        <v>46255</v>
      </c>
      <c r="F99" t="inlineStr">
        <is>
          <t>VÄSTRA GÖTALANDS LÄN</t>
        </is>
      </c>
      <c r="G99" t="inlineStr">
        <is>
          <t>STRÖMSTAD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46255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46255</v>
      </c>
      <c r="F101" t="inlineStr">
        <is>
          <t>VÄSTRA GÖTALANDS LÄN</t>
        </is>
      </c>
      <c r="G101" t="inlineStr">
        <is>
          <t>STRÖMSTAD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46255</v>
      </c>
      <c r="F102" t="inlineStr">
        <is>
          <t>VÄSTRA GÖTALANDS LÄN</t>
        </is>
      </c>
      <c r="G102" t="inlineStr">
        <is>
          <t>STRÖMSTAD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46255</v>
      </c>
      <c r="F103" t="inlineStr">
        <is>
          <t>VÄSTRA GÖTALANDS LÄN</t>
        </is>
      </c>
      <c r="G103" t="inlineStr">
        <is>
          <t>STRÖMSTAD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46255</v>
      </c>
      <c r="F104" t="inlineStr">
        <is>
          <t>VÄSTRA GÖTALANDS LÄN</t>
        </is>
      </c>
      <c r="G104" t="inlineStr">
        <is>
          <t>STRÖMSTAD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46255</v>
      </c>
      <c r="F105" t="inlineStr">
        <is>
          <t>VÄSTRA GÖTALANDS LÄN</t>
        </is>
      </c>
      <c r="G105" t="inlineStr">
        <is>
          <t>STRÖMSTAD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46255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46255</v>
      </c>
      <c r="F107" t="inlineStr">
        <is>
          <t>VÄSTRA GÖTALANDS LÄN</t>
        </is>
      </c>
      <c r="G107" t="inlineStr">
        <is>
          <t>STRÖMSTAD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45301</v>
      </c>
      <c r="E108" s="1" t="n">
        <v>46255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46255</v>
      </c>
      <c r="F109" t="inlineStr">
        <is>
          <t>VÄSTRA GÖTALANDS LÄN</t>
        </is>
      </c>
      <c r="G109" t="inlineStr">
        <is>
          <t>STRÖMSTAD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45316</v>
      </c>
      <c r="E110" s="1" t="n">
        <v>46255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46255</v>
      </c>
      <c r="F111" t="inlineStr">
        <is>
          <t>VÄSTRA GÖTALANDS LÄN</t>
        </is>
      </c>
      <c r="G111" t="inlineStr">
        <is>
          <t>STRÖMSTAD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46255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46255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46003</v>
      </c>
      <c r="E114" s="1" t="n">
        <v>46255</v>
      </c>
      <c r="F114" t="inlineStr">
        <is>
          <t>VÄSTRA GÖTALANDS LÄN</t>
        </is>
      </c>
      <c r="G114" t="inlineStr">
        <is>
          <t>STRÖMSTAD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46255</v>
      </c>
      <c r="F115" t="inlineStr">
        <is>
          <t>VÄSTRA GÖTALANDS LÄN</t>
        </is>
      </c>
      <c r="G115" t="inlineStr">
        <is>
          <t>STRÖMSTAD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56130-2022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44886</v>
      </c>
      <c r="E116" s="1" t="n">
        <v>46255</v>
      </c>
      <c r="F116" t="inlineStr">
        <is>
          <t>VÄSTRA GÖTALANDS LÄN</t>
        </is>
      </c>
      <c r="G116" t="inlineStr">
        <is>
          <t>STRÖMSTAD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46255</v>
      </c>
      <c r="F117" t="inlineStr">
        <is>
          <t>VÄSTRA GÖTALANDS LÄN</t>
        </is>
      </c>
      <c r="G117" t="inlineStr">
        <is>
          <t>STRÖMSTAD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46255</v>
      </c>
      <c r="F118" t="inlineStr">
        <is>
          <t>VÄSTRA GÖTALANDS LÄN</t>
        </is>
      </c>
      <c r="G118" t="inlineStr">
        <is>
          <t>STRÖMSTAD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46255</v>
      </c>
      <c r="F119" t="inlineStr">
        <is>
          <t>VÄSTRA GÖTALANDS LÄN</t>
        </is>
      </c>
      <c r="G119" t="inlineStr">
        <is>
          <t>STRÖMSTAD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45482</v>
      </c>
      <c r="E120" s="1" t="n">
        <v>46255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46255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46255</v>
      </c>
      <c r="F122" t="inlineStr">
        <is>
          <t>VÄSTRA GÖTALANDS LÄN</t>
        </is>
      </c>
      <c r="G122" t="inlineStr">
        <is>
          <t>STRÖMSTAD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46255</v>
      </c>
      <c r="F123" t="inlineStr">
        <is>
          <t>VÄSTRA GÖTALANDS LÄN</t>
        </is>
      </c>
      <c r="G123" t="inlineStr">
        <is>
          <t>STRÖMSTAD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46255</v>
      </c>
      <c r="F124" t="inlineStr">
        <is>
          <t>VÄSTRA GÖTALANDS LÄN</t>
        </is>
      </c>
      <c r="G124" t="inlineStr">
        <is>
          <t>STRÖMSTAD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46255</v>
      </c>
      <c r="F125" t="inlineStr">
        <is>
          <t>VÄSTRA GÖTALANDS LÄN</t>
        </is>
      </c>
      <c r="G125" t="inlineStr">
        <is>
          <t>STRÖMSTAD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44603</v>
      </c>
      <c r="E126" s="1" t="n">
        <v>46255</v>
      </c>
      <c r="F126" t="inlineStr">
        <is>
          <t>VÄSTRA GÖTALANDS LÄN</t>
        </is>
      </c>
      <c r="G126" t="inlineStr">
        <is>
          <t>STRÖMSTAD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46255</v>
      </c>
      <c r="F127" t="inlineStr">
        <is>
          <t>VÄSTRA GÖTALANDS LÄN</t>
        </is>
      </c>
      <c r="G127" t="inlineStr">
        <is>
          <t>STRÖMSTAD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67875-2021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46255</v>
      </c>
      <c r="F128" t="inlineStr">
        <is>
          <t>VÄSTRA GÖTALANDS LÄN</t>
        </is>
      </c>
      <c r="G128" t="inlineStr">
        <is>
          <t>STRÖMSTAD</t>
        </is>
      </c>
      <c r="I128" t="n">
        <v>15.5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46255</v>
      </c>
      <c r="F129" t="inlineStr">
        <is>
          <t>VÄSTRA GÖTALANDS LÄN</t>
        </is>
      </c>
      <c r="G129" t="inlineStr">
        <is>
          <t>STRÖMSTAD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46103</v>
      </c>
      <c r="E130" s="1" t="n">
        <v>46255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46255</v>
      </c>
      <c r="F131" t="inlineStr">
        <is>
          <t>VÄSTRA GÖTALANDS LÄN</t>
        </is>
      </c>
      <c r="G131" t="inlineStr">
        <is>
          <t>STRÖMSTAD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46255</v>
      </c>
      <c r="F132" t="inlineStr">
        <is>
          <t>VÄSTRA GÖTALANDS LÄN</t>
        </is>
      </c>
      <c r="G132" t="inlineStr">
        <is>
          <t>STRÖMSTAD</t>
        </is>
      </c>
      <c r="H132" t="inlineStr">
        <is>
          <t>Kommuner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46255</v>
      </c>
      <c r="F133" t="inlineStr">
        <is>
          <t>VÄSTRA GÖTALANDS LÄN</t>
        </is>
      </c>
      <c r="G133" t="inlineStr">
        <is>
          <t>STRÖMSTAD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46255</v>
      </c>
      <c r="F134" t="inlineStr">
        <is>
          <t>VÄSTRA GÖTALANDS LÄN</t>
        </is>
      </c>
      <c r="G134" t="inlineStr">
        <is>
          <t>STRÖMSTAD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45366</v>
      </c>
      <c r="E135" s="1" t="n">
        <v>46255</v>
      </c>
      <c r="F135" t="inlineStr">
        <is>
          <t>VÄSTRA GÖTALANDS LÄN</t>
        </is>
      </c>
      <c r="G135" t="inlineStr">
        <is>
          <t>STRÖMSTAD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46255</v>
      </c>
      <c r="F136" t="inlineStr">
        <is>
          <t>VÄSTRA GÖTALANDS LÄN</t>
        </is>
      </c>
      <c r="G136" t="inlineStr">
        <is>
          <t>STRÖMSTAD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46255</v>
      </c>
      <c r="F137" t="inlineStr">
        <is>
          <t>VÄSTRA GÖTALANDS LÄN</t>
        </is>
      </c>
      <c r="G137" t="inlineStr">
        <is>
          <t>STRÖMSTAD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46255</v>
      </c>
      <c r="F138" t="inlineStr">
        <is>
          <t>VÄSTRA GÖTALANDS LÄN</t>
        </is>
      </c>
      <c r="G138" t="inlineStr">
        <is>
          <t>STRÖMSTAD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46255</v>
      </c>
      <c r="F139" t="inlineStr">
        <is>
          <t>VÄSTRA GÖTALANDS LÄN</t>
        </is>
      </c>
      <c r="G139" t="inlineStr">
        <is>
          <t>STRÖMSTAD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46255</v>
      </c>
      <c r="F140" t="inlineStr">
        <is>
          <t>VÄSTRA GÖTALANDS LÄN</t>
        </is>
      </c>
      <c r="G140" t="inlineStr">
        <is>
          <t>STRÖMSTAD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45547</v>
      </c>
      <c r="E141" s="1" t="n">
        <v>46255</v>
      </c>
      <c r="F141" t="inlineStr">
        <is>
          <t>VÄSTRA GÖTALANDS LÄN</t>
        </is>
      </c>
      <c r="G141" t="inlineStr">
        <is>
          <t>STRÖMSTAD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8047-2024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45351</v>
      </c>
      <c r="E142" s="1" t="n">
        <v>46255</v>
      </c>
      <c r="F142" t="inlineStr">
        <is>
          <t>VÄSTRA GÖTALANDS LÄN</t>
        </is>
      </c>
      <c r="G142" t="inlineStr">
        <is>
          <t>STRÖMSTAD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46255</v>
      </c>
      <c r="F143" t="inlineStr">
        <is>
          <t>VÄSTRA GÖTALANDS LÄN</t>
        </is>
      </c>
      <c r="G143" t="inlineStr">
        <is>
          <t>STRÖMSTAD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46255</v>
      </c>
      <c r="F144" t="inlineStr">
        <is>
          <t>VÄSTRA GÖTALANDS LÄN</t>
        </is>
      </c>
      <c r="G144" t="inlineStr">
        <is>
          <t>STRÖMSTAD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46255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46255</v>
      </c>
      <c r="F146" t="inlineStr">
        <is>
          <t>VÄSTRA GÖTALANDS LÄN</t>
        </is>
      </c>
      <c r="G146" t="inlineStr">
        <is>
          <t>STRÖMSTAD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44701</v>
      </c>
      <c r="E147" s="1" t="n">
        <v>46255</v>
      </c>
      <c r="F147" t="inlineStr">
        <is>
          <t>VÄSTRA GÖTALANDS LÄN</t>
        </is>
      </c>
      <c r="G147" t="inlineStr">
        <is>
          <t>STRÖMSTAD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46255</v>
      </c>
      <c r="F148" t="inlineStr">
        <is>
          <t>VÄSTRA GÖTALANDS LÄN</t>
        </is>
      </c>
      <c r="G148" t="inlineStr">
        <is>
          <t>STRÖMSTAD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45876</v>
      </c>
      <c r="E149" s="1" t="n">
        <v>46255</v>
      </c>
      <c r="F149" t="inlineStr">
        <is>
          <t>VÄSTRA GÖTALANDS LÄN</t>
        </is>
      </c>
      <c r="G149" t="inlineStr">
        <is>
          <t>STRÖMSTAD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46255</v>
      </c>
      <c r="F150" t="inlineStr">
        <is>
          <t>VÄSTRA GÖTALANDS LÄN</t>
        </is>
      </c>
      <c r="G150" t="inlineStr">
        <is>
          <t>STRÖMSTAD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46255</v>
      </c>
      <c r="F151" t="inlineStr">
        <is>
          <t>VÄSTRA GÖTALANDS LÄN</t>
        </is>
      </c>
      <c r="G151" t="inlineStr">
        <is>
          <t>STRÖMSTAD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46255</v>
      </c>
      <c r="F152" t="inlineStr">
        <is>
          <t>VÄSTRA GÖTALANDS LÄN</t>
        </is>
      </c>
      <c r="G152" t="inlineStr">
        <is>
          <t>STRÖMSTAD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46255</v>
      </c>
      <c r="F153" t="inlineStr">
        <is>
          <t>VÄSTRA GÖTALANDS LÄN</t>
        </is>
      </c>
      <c r="G153" t="inlineStr">
        <is>
          <t>STRÖMSTAD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46255</v>
      </c>
      <c r="F154" t="inlineStr">
        <is>
          <t>VÄSTRA GÖTALANDS LÄN</t>
        </is>
      </c>
      <c r="G154" t="inlineStr">
        <is>
          <t>STRÖMSTAD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46255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46255</v>
      </c>
      <c r="F156" t="inlineStr">
        <is>
          <t>VÄSTRA GÖTALANDS LÄN</t>
        </is>
      </c>
      <c r="G156" t="inlineStr">
        <is>
          <t>STRÖMSTAD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46255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46255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45318</v>
      </c>
      <c r="E159" s="1" t="n">
        <v>46255</v>
      </c>
      <c r="F159" t="inlineStr">
        <is>
          <t>VÄSTRA GÖTALANDS LÄN</t>
        </is>
      </c>
      <c r="G159" t="inlineStr">
        <is>
          <t>STRÖMSTAD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46255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46255</v>
      </c>
      <c r="F161" t="inlineStr">
        <is>
          <t>VÄSTRA GÖTALANDS LÄN</t>
        </is>
      </c>
      <c r="G161" t="inlineStr">
        <is>
          <t>STRÖMSTAD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46255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45301</v>
      </c>
      <c r="E163" s="1" t="n">
        <v>46255</v>
      </c>
      <c r="F163" t="inlineStr">
        <is>
          <t>VÄSTRA GÖTALANDS LÄN</t>
        </is>
      </c>
      <c r="G163" t="inlineStr">
        <is>
          <t>STRÖMSTAD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46255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46255</v>
      </c>
      <c r="F165" t="inlineStr">
        <is>
          <t>VÄSTRA GÖTALANDS LÄN</t>
        </is>
      </c>
      <c r="G165" t="inlineStr">
        <is>
          <t>STRÖMSTAD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46255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44892</v>
      </c>
      <c r="E167" s="1" t="n">
        <v>46255</v>
      </c>
      <c r="F167" t="inlineStr">
        <is>
          <t>VÄSTRA GÖTALANDS LÄN</t>
        </is>
      </c>
      <c r="G167" t="inlineStr">
        <is>
          <t>STRÖMSTAD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45019</v>
      </c>
      <c r="E168" s="1" t="n">
        <v>46255</v>
      </c>
      <c r="F168" t="inlineStr">
        <is>
          <t>VÄSTRA GÖTALANDS LÄN</t>
        </is>
      </c>
      <c r="G168" t="inlineStr">
        <is>
          <t>STRÖMSTAD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44621</v>
      </c>
      <c r="E169" s="1" t="n">
        <v>46255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46255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45061</v>
      </c>
      <c r="E171" s="1" t="n">
        <v>46255</v>
      </c>
      <c r="F171" t="inlineStr">
        <is>
          <t>VÄSTRA GÖTALANDS LÄN</t>
        </is>
      </c>
      <c r="G171" t="inlineStr">
        <is>
          <t>STRÖMSTAD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46255</v>
      </c>
      <c r="F172" t="inlineStr">
        <is>
          <t>VÄSTRA GÖTALANDS LÄN</t>
        </is>
      </c>
      <c r="G172" t="inlineStr">
        <is>
          <t>STRÖMSTAD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46230</v>
      </c>
      <c r="E173" s="1" t="n">
        <v>46255</v>
      </c>
      <c r="F173" t="inlineStr">
        <is>
          <t>VÄSTRA GÖTALANDS LÄN</t>
        </is>
      </c>
      <c r="G173" t="inlineStr">
        <is>
          <t>STRÖMSTAD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46255</v>
      </c>
      <c r="F174" t="inlineStr">
        <is>
          <t>VÄSTRA GÖTALANDS LÄN</t>
        </is>
      </c>
      <c r="G174" t="inlineStr">
        <is>
          <t>STRÖMSTAD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46255</v>
      </c>
      <c r="F175" t="inlineStr">
        <is>
          <t>VÄSTRA GÖTALANDS LÄN</t>
        </is>
      </c>
      <c r="G175" t="inlineStr">
        <is>
          <t>STRÖMSTAD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46255</v>
      </c>
      <c r="F176" t="inlineStr">
        <is>
          <t>VÄSTRA GÖTALANDS LÄN</t>
        </is>
      </c>
      <c r="G176" t="inlineStr">
        <is>
          <t>STRÖMSTAD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46255</v>
      </c>
      <c r="F177" t="inlineStr">
        <is>
          <t>VÄSTRA GÖTALANDS LÄN</t>
        </is>
      </c>
      <c r="G177" t="inlineStr">
        <is>
          <t>STRÖMSTAD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46255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46196</v>
      </c>
      <c r="E179" s="1" t="n">
        <v>46255</v>
      </c>
      <c r="F179" t="inlineStr">
        <is>
          <t>VÄSTRA GÖTALANDS LÄN</t>
        </is>
      </c>
      <c r="G179" t="inlineStr">
        <is>
          <t>STRÖMSTAD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46156</v>
      </c>
      <c r="E180" s="1" t="n">
        <v>46255</v>
      </c>
      <c r="F180" t="inlineStr">
        <is>
          <t>VÄSTRA GÖTALANDS LÄN</t>
        </is>
      </c>
      <c r="G180" t="inlineStr">
        <is>
          <t>STRÖMSTAD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44883-2021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44438</v>
      </c>
      <c r="E181" s="1" t="n">
        <v>46255</v>
      </c>
      <c r="F181" t="inlineStr">
        <is>
          <t>VÄSTRA GÖTALANDS LÄN</t>
        </is>
      </c>
      <c r="G181" t="inlineStr">
        <is>
          <t>STRÖMSTAD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44907</v>
      </c>
      <c r="E182" s="1" t="n">
        <v>46255</v>
      </c>
      <c r="F182" t="inlineStr">
        <is>
          <t>VÄSTRA GÖTALANDS LÄN</t>
        </is>
      </c>
      <c r="G182" t="inlineStr">
        <is>
          <t>STRÖMSTAD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46255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45610</v>
      </c>
      <c r="E184" s="1" t="n">
        <v>46255</v>
      </c>
      <c r="F184" t="inlineStr">
        <is>
          <t>VÄSTRA GÖTALANDS LÄN</t>
        </is>
      </c>
      <c r="G184" t="inlineStr">
        <is>
          <t>STRÖMSTAD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46255</v>
      </c>
      <c r="F185" t="inlineStr">
        <is>
          <t>VÄSTRA GÖTALANDS LÄN</t>
        </is>
      </c>
      <c r="G185" t="inlineStr">
        <is>
          <t>STRÖMSTAD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46255</v>
      </c>
      <c r="F186" t="inlineStr">
        <is>
          <t>VÄSTRA GÖTALANDS LÄN</t>
        </is>
      </c>
      <c r="G186" t="inlineStr">
        <is>
          <t>STRÖMSTAD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45316</v>
      </c>
      <c r="E187" s="1" t="n">
        <v>46255</v>
      </c>
      <c r="F187" t="inlineStr">
        <is>
          <t>VÄSTRA GÖTALANDS LÄN</t>
        </is>
      </c>
      <c r="G187" t="inlineStr">
        <is>
          <t>STRÖMSTAD</t>
        </is>
      </c>
      <c r="H187" t="inlineStr">
        <is>
          <t>Kommuner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46255</v>
      </c>
      <c r="F188" t="inlineStr">
        <is>
          <t>VÄSTRA GÖTALANDS LÄN</t>
        </is>
      </c>
      <c r="G188" t="inlineStr">
        <is>
          <t>STRÖMSTAD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46204</v>
      </c>
      <c r="E189" s="1" t="n">
        <v>46255</v>
      </c>
      <c r="F189" t="inlineStr">
        <is>
          <t>VÄSTRA GÖTALANDS LÄN</t>
        </is>
      </c>
      <c r="G189" t="inlineStr">
        <is>
          <t>STRÖMSTAD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46255</v>
      </c>
      <c r="F190" t="inlineStr">
        <is>
          <t>VÄSTRA GÖTALANDS LÄN</t>
        </is>
      </c>
      <c r="G190" t="inlineStr">
        <is>
          <t>STRÖMSTAD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46255</v>
      </c>
      <c r="F191" t="inlineStr">
        <is>
          <t>VÄSTRA GÖTALANDS LÄN</t>
        </is>
      </c>
      <c r="G191" t="inlineStr">
        <is>
          <t>STRÖMSTAD</t>
        </is>
      </c>
      <c r="H191" t="inlineStr">
        <is>
          <t>Kyrkan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46255</v>
      </c>
      <c r="F192" t="inlineStr">
        <is>
          <t>VÄSTRA GÖTALANDS LÄN</t>
        </is>
      </c>
      <c r="G192" t="inlineStr">
        <is>
          <t>STRÖMSTAD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46255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46255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46255</v>
      </c>
      <c r="F195" t="inlineStr">
        <is>
          <t>VÄSTRA GÖTALANDS LÄN</t>
        </is>
      </c>
      <c r="G195" t="inlineStr">
        <is>
          <t>STRÖMSTAD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46255</v>
      </c>
      <c r="F196" t="inlineStr">
        <is>
          <t>VÄSTRA GÖTALANDS LÄN</t>
        </is>
      </c>
      <c r="G196" t="inlineStr">
        <is>
          <t>STRÖMSTAD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46255</v>
      </c>
      <c r="F197" t="inlineStr">
        <is>
          <t>VÄSTRA GÖTALANDS LÄN</t>
        </is>
      </c>
      <c r="G197" t="inlineStr">
        <is>
          <t>STRÖMSTAD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46255</v>
      </c>
      <c r="F198" t="inlineStr">
        <is>
          <t>VÄSTRA GÖTALANDS LÄN</t>
        </is>
      </c>
      <c r="G198" t="inlineStr">
        <is>
          <t>STRÖMSTAD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46255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45739</v>
      </c>
      <c r="E200" s="1" t="n">
        <v>46255</v>
      </c>
      <c r="F200" t="inlineStr">
        <is>
          <t>VÄSTRA GÖTALANDS LÄN</t>
        </is>
      </c>
      <c r="G200" t="inlineStr">
        <is>
          <t>STRÖMSTAD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45596</v>
      </c>
      <c r="E201" s="1" t="n">
        <v>46255</v>
      </c>
      <c r="F201" t="inlineStr">
        <is>
          <t>VÄSTRA GÖTALANDS LÄN</t>
        </is>
      </c>
      <c r="G201" t="inlineStr">
        <is>
          <t>STRÖMSTAD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46255</v>
      </c>
      <c r="F202" t="inlineStr">
        <is>
          <t>VÄSTRA GÖTALANDS LÄN</t>
        </is>
      </c>
      <c r="G202" t="inlineStr">
        <is>
          <t>STRÖMSTAD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46255</v>
      </c>
      <c r="F203" t="inlineStr">
        <is>
          <t>VÄSTRA GÖTALANDS LÄN</t>
        </is>
      </c>
      <c r="G203" t="inlineStr">
        <is>
          <t>STRÖMSTAD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44649</v>
      </c>
      <c r="E204" s="1" t="n">
        <v>46255</v>
      </c>
      <c r="F204" t="inlineStr">
        <is>
          <t>VÄSTRA GÖTALANDS LÄN</t>
        </is>
      </c>
      <c r="G204" t="inlineStr">
        <is>
          <t>STRÖMSTAD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45018</v>
      </c>
      <c r="E205" s="1" t="n">
        <v>46255</v>
      </c>
      <c r="F205" t="inlineStr">
        <is>
          <t>VÄSTRA GÖTALANDS LÄN</t>
        </is>
      </c>
      <c r="G205" t="inlineStr">
        <is>
          <t>STRÖMSTAD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46255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46255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46255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2026-08-21T01:49:19Z</dcterms:created>
  <dcterms:modified xmlns:dcterms="http://purl.org/dc/terms/" xmlns:xsi="http://www.w3.org/2001/XMLSchema-instance" xsi:type="dcterms:W3CDTF">2026-08-21T01:49:20Z</dcterms:modified>
</cp:coreProperties>
</file>