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46250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46250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6043-2024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46250</v>
      </c>
      <c r="F7" t="inlineStr">
        <is>
          <t>VÄSTRA GÖTALANDS LÄN</t>
        </is>
      </c>
      <c r="G7" t="inlineStr">
        <is>
          <t>STRÖMSTAD</t>
        </is>
      </c>
      <c r="I7" t="n">
        <v>0.7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7</v>
      </c>
      <c r="V7" s="2" t="inlineStr">
        <is>
          <t>Knärot
Grönpyrola
Revlummer</t>
        </is>
      </c>
      <c r="W7">
        <f>HYPERLINK("https://klasma.github.io/Logging_1486/artfynd/A 6043-2024 artfynd.xlsx", "A 6043-2024")</f>
        <v/>
      </c>
      <c r="X7">
        <f>HYPERLINK("https://klasma.github.io/Logging_1486/kartor/A 6043-2024 karta.png", "A 6043-2024")</f>
        <v/>
      </c>
      <c r="Y7">
        <f>HYPERLINK("https://klasma.github.io/Logging_1486/kartor_geotiff/A 6043-2024 georefererad karta.tif", "A 6043-2024")</f>
        <v/>
      </c>
      <c r="Z7">
        <f>HYPERLINK("https://klasma.github.io/Logging_1486/knärot/A 6043-2024 karta knärot.png", "A 6043-2024")</f>
        <v/>
      </c>
      <c r="AA7">
        <f>HYPERLINK("https://klasma.github.io/Logging_1486/klagomål/A 6043-2024 FSC-klagomål.docx", "A 6043-2024")</f>
        <v/>
      </c>
      <c r="AB7">
        <f>HYPERLINK("https://klasma.github.io/Logging_1486/klagomålsmail/A 6043-2024 FSC-klagomål mail.docx", "A 6043-2024")</f>
        <v/>
      </c>
      <c r="AC7">
        <f>HYPERLINK("https://klasma.github.io/Logging_1486/tillsyn/A 6043-2024 tillsynsbegäran.docx", "A 6043-2024")</f>
        <v/>
      </c>
      <c r="AD7">
        <f>HYPERLINK("https://klasma.github.io/Logging_1486/tillsynsmail/A 6043-2024 tillsynsbegäran mail.docx", "A 6043-2024")</f>
        <v/>
      </c>
    </row>
    <row r="8" ht="15" customHeight="1">
      <c r="A8" t="inlineStr">
        <is>
          <t>A 4173-2022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44588</v>
      </c>
      <c r="E8" s="1" t="n">
        <v>46250</v>
      </c>
      <c r="F8" t="inlineStr">
        <is>
          <t>VÄSTRA GÖTALANDS LÄN</t>
        </is>
      </c>
      <c r="G8" t="inlineStr">
        <is>
          <t>STRÖMSTAD</t>
        </is>
      </c>
      <c r="I8" t="n">
        <v>2.8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Blåmossa
Spillkråka
Revlummer</t>
        </is>
      </c>
      <c r="W8">
        <f>HYPERLINK("https://klasma.github.io/Logging_1486/artfynd/A 4173-2022 artfynd.xlsx", "A 4173-2022")</f>
        <v/>
      </c>
      <c r="X8">
        <f>HYPERLINK("https://klasma.github.io/Logging_1486/kartor/A 4173-2022 karta.png", "A 4173-2022")</f>
        <v/>
      </c>
      <c r="Y8">
        <f>HYPERLINK("https://klasma.github.io/Logging_1486/kartor_geotiff/A 4173-2022 georefererad karta.tif", "A 4173-2022")</f>
        <v/>
      </c>
      <c r="AA8">
        <f>HYPERLINK("https://klasma.github.io/Logging_1486/klagomål/A 4173-2022 FSC-klagomål.docx", "A 4173-2022")</f>
        <v/>
      </c>
      <c r="AB8">
        <f>HYPERLINK("https://klasma.github.io/Logging_1486/klagomålsmail/A 4173-2022 FSC-klagomål mail.docx", "A 4173-2022")</f>
        <v/>
      </c>
      <c r="AC8">
        <f>HYPERLINK("https://klasma.github.io/Logging_1486/tillsyn/A 4173-2022 tillsynsbegäran.docx", "A 4173-2022")</f>
        <v/>
      </c>
      <c r="AD8">
        <f>HYPERLINK("https://klasma.github.io/Logging_1486/tillsynsmail/A 4173-2022 tillsynsbegäran mail.docx", "A 4173-2022")</f>
        <v/>
      </c>
      <c r="AE8">
        <f>HYPERLINK("https://klasma.github.io/Logging_1486/fåglar/A 4173-2022 prioriterade fågelarter.docx", "A 4173-2022")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46250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46250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46250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56318-2025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45974</v>
      </c>
      <c r="E14" s="1" t="n">
        <v>46250</v>
      </c>
      <c r="F14" t="inlineStr">
        <is>
          <t>VÄSTRA GÖTALANDS LÄN</t>
        </is>
      </c>
      <c r="G14" t="inlineStr">
        <is>
          <t>STRÖMSTAD</t>
        </is>
      </c>
      <c r="I14" t="n">
        <v>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Kopparödla</t>
        </is>
      </c>
      <c r="W14">
        <f>HYPERLINK("https://klasma.github.io/Logging_1486/artfynd/A 56318-2025 artfynd.xlsx", "A 56318-2025")</f>
        <v/>
      </c>
      <c r="X14">
        <f>HYPERLINK("https://klasma.github.io/Logging_1486/kartor/A 56318-2025 karta.png", "A 56318-2025")</f>
        <v/>
      </c>
      <c r="Y14">
        <f>HYPERLINK("https://klasma.github.io/Logging_1486/kartor_geotiff/A 56318-2025 georefererad karta.tif", "A 56318-2025")</f>
        <v/>
      </c>
      <c r="AA14">
        <f>HYPERLINK("https://klasma.github.io/Logging_1486/klagomål/A 56318-2025 FSC-klagomål.docx", "A 56318-2025")</f>
        <v/>
      </c>
      <c r="AB14">
        <f>HYPERLINK("https://klasma.github.io/Logging_1486/klagomålsmail/A 56318-2025 FSC-klagomål mail.docx", "A 56318-2025")</f>
        <v/>
      </c>
      <c r="AC14">
        <f>HYPERLINK("https://klasma.github.io/Logging_1486/tillsyn/A 56318-2025 tillsynsbegäran.docx", "A 56318-2025")</f>
        <v/>
      </c>
      <c r="AD14">
        <f>HYPERLINK("https://klasma.github.io/Logging_1486/tillsynsmail/A 56318-2025 tillsynsbegäran mail.docx", "A 56318-2025")</f>
        <v/>
      </c>
      <c r="AE14">
        <f>HYPERLINK("https://klasma.github.io/Logging_1486/fåglar/A 56318-2025 prioriterade fågelarter.docx", "A 56318-2025")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46250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46250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46250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9839-2026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46250</v>
      </c>
      <c r="F18" t="inlineStr">
        <is>
          <t>VÄSTRA GÖTALANDS LÄN</t>
        </is>
      </c>
      <c r="G18" t="inlineStr">
        <is>
          <t>STRÖMSTAD</t>
        </is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Lopplummer (aggregat)
Revlummer</t>
        </is>
      </c>
      <c r="W18">
        <f>HYPERLINK("https://klasma.github.io/Logging_1486/artfynd/A 9839-2026 artfynd.xlsx", "A 9839-2026")</f>
        <v/>
      </c>
      <c r="X18">
        <f>HYPERLINK("https://klasma.github.io/Logging_1486/kartor/A 9839-2026 karta.png", "A 9839-2026")</f>
        <v/>
      </c>
      <c r="Y18">
        <f>HYPERLINK("https://klasma.github.io/Logging_1486/kartor_geotiff/A 9839-2026 georefererad karta.tif", "A 9839-2026")</f>
        <v/>
      </c>
      <c r="AA18">
        <f>HYPERLINK("https://klasma.github.io/Logging_1486/klagomål/A 9839-2026 FSC-klagomål.docx", "A 9839-2026")</f>
        <v/>
      </c>
      <c r="AB18">
        <f>HYPERLINK("https://klasma.github.io/Logging_1486/klagomålsmail/A 9839-2026 FSC-klagomål mail.docx", "A 9839-2026")</f>
        <v/>
      </c>
      <c r="AC18">
        <f>HYPERLINK("https://klasma.github.io/Logging_1486/tillsyn/A 9839-2026 tillsynsbegäran.docx", "A 9839-2026")</f>
        <v/>
      </c>
      <c r="AD18">
        <f>HYPERLINK("https://klasma.github.io/Logging_1486/tillsynsmail/A 9839-2026 tillsynsbegäran mail.docx", "A 9839-2026")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46250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46250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46250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46250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46250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46250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46250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46250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46250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12779-2025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46250</v>
      </c>
      <c r="F28" t="inlineStr">
        <is>
          <t>VÄSTRA GÖTALANDS LÄN</t>
        </is>
      </c>
      <c r="G28" t="inlineStr">
        <is>
          <t>STRÖMSTAD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HYPERLINK("https://klasma.github.io/Logging_1486/artfynd/A 12779-2025 artfynd.xlsx", "A 12779-2025")</f>
        <v/>
      </c>
      <c r="X28">
        <f>HYPERLINK("https://klasma.github.io/Logging_1486/kartor/A 12779-2025 karta.png", "A 12779-2025")</f>
        <v/>
      </c>
      <c r="Y28">
        <f>HYPERLINK("https://klasma.github.io/Logging_1486/kartor_geotiff/A 12779-2025 georefererad karta.tif", "A 12779-2025")</f>
        <v/>
      </c>
      <c r="AA28">
        <f>HYPERLINK("https://klasma.github.io/Logging_1486/klagomål/A 12779-2025 FSC-klagomål.docx", "A 12779-2025")</f>
        <v/>
      </c>
      <c r="AB28">
        <f>HYPERLINK("https://klasma.github.io/Logging_1486/klagomålsmail/A 12779-2025 FSC-klagomål mail.docx", "A 12779-2025")</f>
        <v/>
      </c>
      <c r="AC28">
        <f>HYPERLINK("https://klasma.github.io/Logging_1486/tillsyn/A 12779-2025 tillsynsbegäran.docx", "A 12779-2025")</f>
        <v/>
      </c>
      <c r="AD28">
        <f>HYPERLINK("https://klasma.github.io/Logging_1486/tillsynsmail/A 12779-2025 tillsynsbegäran mail.docx", "A 12779-2025")</f>
        <v/>
      </c>
      <c r="AE28">
        <f>HYPERLINK("https://klasma.github.io/Logging_1486/fåglar/A 12779-2025 prioriterade fågelarter.docx", "A 12779-2025")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46250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46250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46250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46250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46250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46250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46250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46250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46250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46250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46250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46250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46250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46250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46250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46250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46250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46250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46250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46250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46250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46250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46250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44885</v>
      </c>
      <c r="E52" s="1" t="n">
        <v>46250</v>
      </c>
      <c r="F52" t="inlineStr">
        <is>
          <t>VÄSTRA GÖTALANDS LÄN</t>
        </is>
      </c>
      <c r="G52" t="inlineStr">
        <is>
          <t>STRÖMSTAD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44848</v>
      </c>
      <c r="E53" s="1" t="n">
        <v>46250</v>
      </c>
      <c r="F53" t="inlineStr">
        <is>
          <t>VÄSTRA GÖTALANDS LÄN</t>
        </is>
      </c>
      <c r="G53" t="inlineStr">
        <is>
          <t>STRÖMSTAD</t>
        </is>
      </c>
      <c r="H53" t="inlineStr">
        <is>
          <t>Kommuner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46250</v>
      </c>
      <c r="F54" t="inlineStr">
        <is>
          <t>VÄSTRA GÖTALANDS LÄN</t>
        </is>
      </c>
      <c r="G54" t="inlineStr">
        <is>
          <t>STRÖMSTAD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46250</v>
      </c>
      <c r="F55" t="inlineStr">
        <is>
          <t>VÄSTRA GÖTALANDS LÄN</t>
        </is>
      </c>
      <c r="G55" t="inlineStr">
        <is>
          <t>STRÖMSTAD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45236</v>
      </c>
      <c r="E56" s="1" t="n">
        <v>46250</v>
      </c>
      <c r="F56" t="inlineStr">
        <is>
          <t>VÄSTRA GÖTALANDS LÄN</t>
        </is>
      </c>
      <c r="G56" t="inlineStr">
        <is>
          <t>STRÖMSTAD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46250</v>
      </c>
      <c r="F57" t="inlineStr">
        <is>
          <t>VÄSTRA GÖTALANDS LÄN</t>
        </is>
      </c>
      <c r="G57" t="inlineStr">
        <is>
          <t>STRÖMSTAD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46250</v>
      </c>
      <c r="F58" t="inlineStr">
        <is>
          <t>VÄSTRA GÖTALANDS LÄN</t>
        </is>
      </c>
      <c r="G58" t="inlineStr">
        <is>
          <t>STRÖMSTAD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46250</v>
      </c>
      <c r="F59" t="inlineStr">
        <is>
          <t>VÄSTRA GÖTALANDS LÄN</t>
        </is>
      </c>
      <c r="G59" t="inlineStr">
        <is>
          <t>STRÖMSTAD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46250</v>
      </c>
      <c r="F60" t="inlineStr">
        <is>
          <t>VÄSTRA GÖTALANDS LÄN</t>
        </is>
      </c>
      <c r="G60" t="inlineStr">
        <is>
          <t>STRÖMSTAD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46250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46250</v>
      </c>
      <c r="F62" t="inlineStr">
        <is>
          <t>VÄSTRA GÖTALANDS LÄN</t>
        </is>
      </c>
      <c r="G62" t="inlineStr">
        <is>
          <t>STRÖMSTAD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46250</v>
      </c>
      <c r="F63" t="inlineStr">
        <is>
          <t>VÄSTRA GÖTALANDS LÄN</t>
        </is>
      </c>
      <c r="G63" t="inlineStr">
        <is>
          <t>STRÖMSTAD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44763</v>
      </c>
      <c r="E64" s="1" t="n">
        <v>46250</v>
      </c>
      <c r="F64" t="inlineStr">
        <is>
          <t>VÄSTRA GÖTALANDS LÄN</t>
        </is>
      </c>
      <c r="G64" t="inlineStr">
        <is>
          <t>STRÖMSTAD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44774</v>
      </c>
      <c r="E65" s="1" t="n">
        <v>46250</v>
      </c>
      <c r="F65" t="inlineStr">
        <is>
          <t>VÄSTRA GÖTALANDS LÄN</t>
        </is>
      </c>
      <c r="G65" t="inlineStr">
        <is>
          <t>STRÖMSTAD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46250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44408-2021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44435</v>
      </c>
      <c r="E67" s="1" t="n">
        <v>46250</v>
      </c>
      <c r="F67" t="inlineStr">
        <is>
          <t>VÄSTRA GÖTALANDS LÄN</t>
        </is>
      </c>
      <c r="G67" t="inlineStr">
        <is>
          <t>STRÖMSTAD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45232</v>
      </c>
      <c r="E68" s="1" t="n">
        <v>46250</v>
      </c>
      <c r="F68" t="inlineStr">
        <is>
          <t>VÄSTRA GÖTALANDS LÄN</t>
        </is>
      </c>
      <c r="G68" t="inlineStr">
        <is>
          <t>STRÖMSTAD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45483</v>
      </c>
      <c r="E69" s="1" t="n">
        <v>46250</v>
      </c>
      <c r="F69" t="inlineStr">
        <is>
          <t>VÄSTRA GÖTALANDS LÄN</t>
        </is>
      </c>
      <c r="G69" t="inlineStr">
        <is>
          <t>STRÖMSTAD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46250</v>
      </c>
      <c r="F70" t="inlineStr">
        <is>
          <t>VÄSTRA GÖTALANDS LÄN</t>
        </is>
      </c>
      <c r="G70" t="inlineStr">
        <is>
          <t>STRÖMSTAD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46250</v>
      </c>
      <c r="F71" t="inlineStr">
        <is>
          <t>VÄSTRA GÖTALANDS LÄN</t>
        </is>
      </c>
      <c r="G71" t="inlineStr">
        <is>
          <t>STRÖMSTAD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46250</v>
      </c>
      <c r="F72" t="inlineStr">
        <is>
          <t>VÄSTRA GÖTALANDS LÄN</t>
        </is>
      </c>
      <c r="G72" t="inlineStr">
        <is>
          <t>STRÖMSTAD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45301</v>
      </c>
      <c r="E73" s="1" t="n">
        <v>46250</v>
      </c>
      <c r="F73" t="inlineStr">
        <is>
          <t>VÄSTRA GÖTALANDS LÄN</t>
        </is>
      </c>
      <c r="G73" t="inlineStr">
        <is>
          <t>STRÖMSTAD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50626-2025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45945</v>
      </c>
      <c r="E74" s="1" t="n">
        <v>46250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Övriga Aktiebolag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45945</v>
      </c>
      <c r="E75" s="1" t="n">
        <v>46250</v>
      </c>
      <c r="F75" t="inlineStr">
        <is>
          <t>VÄSTRA GÖTALANDS LÄN</t>
        </is>
      </c>
      <c r="G75" t="inlineStr">
        <is>
          <t>STRÖMSTAD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46250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14440-2026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46250</v>
      </c>
      <c r="F77" t="inlineStr">
        <is>
          <t>VÄSTRA GÖTALANDS LÄN</t>
        </is>
      </c>
      <c r="G77" t="inlineStr">
        <is>
          <t>STRÖMSTAD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46250</v>
      </c>
      <c r="F78" t="inlineStr">
        <is>
          <t>VÄSTRA GÖTALANDS LÄN</t>
        </is>
      </c>
      <c r="G78" t="inlineStr">
        <is>
          <t>STRÖMSTAD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46100</v>
      </c>
      <c r="E79" s="1" t="n">
        <v>46250</v>
      </c>
      <c r="F79" t="inlineStr">
        <is>
          <t>VÄSTRA GÖTALANDS LÄN</t>
        </is>
      </c>
      <c r="G79" t="inlineStr">
        <is>
          <t>STRÖMSTAD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46100</v>
      </c>
      <c r="E80" s="1" t="n">
        <v>46250</v>
      </c>
      <c r="F80" t="inlineStr">
        <is>
          <t>VÄSTRA GÖTALANDS LÄN</t>
        </is>
      </c>
      <c r="G80" t="inlineStr">
        <is>
          <t>STRÖMSTAD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46250</v>
      </c>
      <c r="F81" t="inlineStr">
        <is>
          <t>VÄSTRA GÖTALANDS LÄN</t>
        </is>
      </c>
      <c r="G81" t="inlineStr">
        <is>
          <t>STRÖMSTAD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46250</v>
      </c>
      <c r="F82" t="inlineStr">
        <is>
          <t>VÄSTRA GÖTALANDS LÄN</t>
        </is>
      </c>
      <c r="G82" t="inlineStr">
        <is>
          <t>STRÖMSTAD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46250</v>
      </c>
      <c r="F83" t="inlineStr">
        <is>
          <t>VÄSTRA GÖTALANDS LÄN</t>
        </is>
      </c>
      <c r="G83" t="inlineStr">
        <is>
          <t>STRÖMSTAD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45482</v>
      </c>
      <c r="E84" s="1" t="n">
        <v>46250</v>
      </c>
      <c r="F84" t="inlineStr">
        <is>
          <t>VÄSTRA GÖTALANDS LÄN</t>
        </is>
      </c>
      <c r="G84" t="inlineStr">
        <is>
          <t>STRÖMSTAD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46250</v>
      </c>
      <c r="F85" t="inlineStr">
        <is>
          <t>VÄSTRA GÖTALANDS LÄN</t>
        </is>
      </c>
      <c r="G85" t="inlineStr">
        <is>
          <t>STRÖMSTAD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46250</v>
      </c>
      <c r="F86" t="inlineStr">
        <is>
          <t>VÄSTRA GÖTALANDS LÄN</t>
        </is>
      </c>
      <c r="G86" t="inlineStr">
        <is>
          <t>STRÖMSTAD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44892</v>
      </c>
      <c r="E87" s="1" t="n">
        <v>46250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46250</v>
      </c>
      <c r="F88" t="inlineStr">
        <is>
          <t>VÄSTRA GÖTALANDS LÄN</t>
        </is>
      </c>
      <c r="G88" t="inlineStr">
        <is>
          <t>STRÖMSTAD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45972</v>
      </c>
      <c r="E89" s="1" t="n">
        <v>46250</v>
      </c>
      <c r="F89" t="inlineStr">
        <is>
          <t>VÄSTRA GÖTALANDS LÄN</t>
        </is>
      </c>
      <c r="G89" t="inlineStr">
        <is>
          <t>STRÖMSTAD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46250</v>
      </c>
      <c r="F90" t="inlineStr">
        <is>
          <t>VÄSTRA GÖTALANDS LÄN</t>
        </is>
      </c>
      <c r="G90" t="inlineStr">
        <is>
          <t>STRÖMSTAD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58226-2025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46250</v>
      </c>
      <c r="F91" t="inlineStr">
        <is>
          <t>VÄSTRA GÖTALANDS LÄN</t>
        </is>
      </c>
      <c r="G91" t="inlineStr">
        <is>
          <t>STRÖMSTAD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46250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46250</v>
      </c>
      <c r="F93" t="inlineStr">
        <is>
          <t>VÄSTRA GÖTALANDS LÄN</t>
        </is>
      </c>
      <c r="G93" t="inlineStr">
        <is>
          <t>STRÖMSTAD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57663-2025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46250</v>
      </c>
      <c r="F94" t="inlineStr">
        <is>
          <t>VÄSTRA GÖTALANDS LÄN</t>
        </is>
      </c>
      <c r="G94" t="inlineStr">
        <is>
          <t>STRÖMSTAD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45019</v>
      </c>
      <c r="E95" s="1" t="n">
        <v>46250</v>
      </c>
      <c r="F95" t="inlineStr">
        <is>
          <t>VÄSTRA GÖTALANDS LÄN</t>
        </is>
      </c>
      <c r="G95" t="inlineStr">
        <is>
          <t>STRÖMSTAD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46003</v>
      </c>
      <c r="E96" s="1" t="n">
        <v>46250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46103</v>
      </c>
      <c r="E97" s="1" t="n">
        <v>46250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46250</v>
      </c>
      <c r="F98" t="inlineStr">
        <is>
          <t>VÄSTRA GÖTALANDS LÄN</t>
        </is>
      </c>
      <c r="G98" t="inlineStr">
        <is>
          <t>STRÖMSTAD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45061</v>
      </c>
      <c r="E99" s="1" t="n">
        <v>46250</v>
      </c>
      <c r="F99" t="inlineStr">
        <is>
          <t>VÄSTRA GÖTALANDS LÄN</t>
        </is>
      </c>
      <c r="G99" t="inlineStr">
        <is>
          <t>STRÖMSTAD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46250</v>
      </c>
      <c r="F100" t="inlineStr">
        <is>
          <t>VÄSTRA GÖTALANDS LÄN</t>
        </is>
      </c>
      <c r="G100" t="inlineStr">
        <is>
          <t>STRÖMSTAD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16989-2023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45033</v>
      </c>
      <c r="E101" s="1" t="n">
        <v>46250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46029</v>
      </c>
      <c r="E102" s="1" t="n">
        <v>46250</v>
      </c>
      <c r="F102" t="inlineStr">
        <is>
          <t>VÄSTRA GÖTALANDS LÄN</t>
        </is>
      </c>
      <c r="G102" t="inlineStr">
        <is>
          <t>STRÖMSTAD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46250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46250</v>
      </c>
      <c r="F104" t="inlineStr">
        <is>
          <t>VÄSTRA GÖTALANDS LÄN</t>
        </is>
      </c>
      <c r="G104" t="inlineStr">
        <is>
          <t>STRÖMSTAD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46250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46250</v>
      </c>
      <c r="F106" t="inlineStr">
        <is>
          <t>VÄSTRA GÖTALANDS LÄN</t>
        </is>
      </c>
      <c r="G106" t="inlineStr">
        <is>
          <t>STRÖMSTAD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46250</v>
      </c>
      <c r="F107" t="inlineStr">
        <is>
          <t>VÄSTRA GÖTALANDS LÄN</t>
        </is>
      </c>
      <c r="G107" t="inlineStr">
        <is>
          <t>STRÖMSTAD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46250</v>
      </c>
      <c r="F108" t="inlineStr">
        <is>
          <t>VÄSTRA GÖTALANDS LÄN</t>
        </is>
      </c>
      <c r="G108" t="inlineStr">
        <is>
          <t>STRÖMSTAD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2324-2026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46250</v>
      </c>
      <c r="F109" t="inlineStr">
        <is>
          <t>VÄSTRA GÖTALANDS LÄN</t>
        </is>
      </c>
      <c r="G109" t="inlineStr">
        <is>
          <t>STRÖMSTAD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46250</v>
      </c>
      <c r="F110" t="inlineStr">
        <is>
          <t>VÄSTRA GÖTALANDS LÄN</t>
        </is>
      </c>
      <c r="G110" t="inlineStr">
        <is>
          <t>STRÖMSTAD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46250</v>
      </c>
      <c r="F111" t="inlineStr">
        <is>
          <t>VÄSTRA GÖTALANDS LÄN</t>
        </is>
      </c>
      <c r="G111" t="inlineStr">
        <is>
          <t>STRÖMSTAD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46250</v>
      </c>
      <c r="F112" t="inlineStr">
        <is>
          <t>VÄSTRA GÖTALANDS LÄN</t>
        </is>
      </c>
      <c r="G112" t="inlineStr">
        <is>
          <t>STRÖMSTAD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45483</v>
      </c>
      <c r="E113" s="1" t="n">
        <v>46250</v>
      </c>
      <c r="F113" t="inlineStr">
        <is>
          <t>VÄSTRA GÖTALANDS LÄN</t>
        </is>
      </c>
      <c r="G113" t="inlineStr">
        <is>
          <t>STRÖMSTAD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45750</v>
      </c>
      <c r="E114" s="1" t="n">
        <v>46250</v>
      </c>
      <c r="F114" t="inlineStr">
        <is>
          <t>VÄSTRA GÖTALANDS LÄN</t>
        </is>
      </c>
      <c r="G114" t="inlineStr">
        <is>
          <t>STRÖMSTAD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46250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46250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19134-2025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45764</v>
      </c>
      <c r="E117" s="1" t="n">
        <v>46250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46250</v>
      </c>
      <c r="F118" t="inlineStr">
        <is>
          <t>VÄSTRA GÖTALANDS LÄN</t>
        </is>
      </c>
      <c r="G118" t="inlineStr">
        <is>
          <t>STRÖMSTAD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46250</v>
      </c>
      <c r="F119" t="inlineStr">
        <is>
          <t>VÄSTRA GÖTALANDS LÄN</t>
        </is>
      </c>
      <c r="G119" t="inlineStr">
        <is>
          <t>STRÖMSTAD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44459</v>
      </c>
      <c r="E120" s="1" t="n">
        <v>46250</v>
      </c>
      <c r="F120" t="inlineStr">
        <is>
          <t>VÄSTRA GÖTALANDS LÄN</t>
        </is>
      </c>
      <c r="G120" t="inlineStr">
        <is>
          <t>STRÖMSTAD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46250</v>
      </c>
      <c r="F121" t="inlineStr">
        <is>
          <t>VÄSTRA GÖTALANDS LÄN</t>
        </is>
      </c>
      <c r="G121" t="inlineStr">
        <is>
          <t>STRÖMSTAD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46059</v>
      </c>
      <c r="E122" s="1" t="n">
        <v>46250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46250</v>
      </c>
      <c r="F123" t="inlineStr">
        <is>
          <t>VÄSTRA GÖTALANDS LÄN</t>
        </is>
      </c>
      <c r="G123" t="inlineStr">
        <is>
          <t>STRÖMSTAD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22560-2023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46250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46250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46250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61252-2024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46250</v>
      </c>
      <c r="F127" t="inlineStr">
        <is>
          <t>VÄSTRA GÖTALANDS LÄN</t>
        </is>
      </c>
      <c r="G127" t="inlineStr">
        <is>
          <t>STRÖMSTAD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46250</v>
      </c>
      <c r="F128" t="inlineStr">
        <is>
          <t>VÄSTRA GÖTALANDS LÄN</t>
        </is>
      </c>
      <c r="G128" t="inlineStr">
        <is>
          <t>STRÖMSTAD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46250</v>
      </c>
      <c r="F129" t="inlineStr">
        <is>
          <t>VÄSTRA GÖTALANDS LÄN</t>
        </is>
      </c>
      <c r="G129" t="inlineStr">
        <is>
          <t>STRÖMSTAD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46063</v>
      </c>
      <c r="E130" s="1" t="n">
        <v>46250</v>
      </c>
      <c r="F130" t="inlineStr">
        <is>
          <t>VÄSTRA GÖTALANDS LÄN</t>
        </is>
      </c>
      <c r="G130" t="inlineStr">
        <is>
          <t>STRÖMSTAD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8058-2026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46250</v>
      </c>
      <c r="F131" t="inlineStr">
        <is>
          <t>VÄSTRA GÖTALANDS LÄN</t>
        </is>
      </c>
      <c r="G131" t="inlineStr">
        <is>
          <t>STRÖMSTAD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45331</v>
      </c>
      <c r="E132" s="1" t="n">
        <v>46250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46250</v>
      </c>
      <c r="F133" t="inlineStr">
        <is>
          <t>VÄSTRA GÖTALANDS LÄN</t>
        </is>
      </c>
      <c r="G133" t="inlineStr">
        <is>
          <t>STRÖMSTAD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46250</v>
      </c>
      <c r="F134" t="inlineStr">
        <is>
          <t>VÄSTRA GÖTALANDS LÄN</t>
        </is>
      </c>
      <c r="G134" t="inlineStr">
        <is>
          <t>STRÖMSTAD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46250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46250</v>
      </c>
      <c r="F136" t="inlineStr">
        <is>
          <t>VÄSTRA GÖTALANDS LÄN</t>
        </is>
      </c>
      <c r="G136" t="inlineStr">
        <is>
          <t>STRÖMSTAD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46142</v>
      </c>
      <c r="E137" s="1" t="n">
        <v>46250</v>
      </c>
      <c r="F137" t="inlineStr">
        <is>
          <t>VÄSTRA GÖTALANDS LÄN</t>
        </is>
      </c>
      <c r="G137" t="inlineStr">
        <is>
          <t>STRÖMSTAD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10850-2026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46250</v>
      </c>
      <c r="F138" t="inlineStr">
        <is>
          <t>VÄSTRA GÖTALANDS LÄN</t>
        </is>
      </c>
      <c r="G138" t="inlineStr">
        <is>
          <t>STRÖMSTAD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46250</v>
      </c>
      <c r="F139" t="inlineStr">
        <is>
          <t>VÄSTRA GÖTALANDS LÄN</t>
        </is>
      </c>
      <c r="G139" t="inlineStr">
        <is>
          <t>STRÖMSTAD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44883-2021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44438</v>
      </c>
      <c r="E140" s="1" t="n">
        <v>46250</v>
      </c>
      <c r="F140" t="inlineStr">
        <is>
          <t>VÄSTRA GÖTALANDS LÄN</t>
        </is>
      </c>
      <c r="G140" t="inlineStr">
        <is>
          <t>STRÖMSTAD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45301</v>
      </c>
      <c r="E141" s="1" t="n">
        <v>46250</v>
      </c>
      <c r="F141" t="inlineStr">
        <is>
          <t>VÄSTRA GÖTALANDS LÄN</t>
        </is>
      </c>
      <c r="G141" t="inlineStr">
        <is>
          <t>STRÖMSTAD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44907</v>
      </c>
      <c r="E142" s="1" t="n">
        <v>46250</v>
      </c>
      <c r="F142" t="inlineStr">
        <is>
          <t>VÄSTRA GÖTALANDS LÄN</t>
        </is>
      </c>
      <c r="G142" t="inlineStr">
        <is>
          <t>STRÖMSTAD</t>
        </is>
      </c>
      <c r="I142" t="n">
        <v>10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44875</v>
      </c>
      <c r="E143" s="1" t="n">
        <v>46250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46250</v>
      </c>
      <c r="F144" t="inlineStr">
        <is>
          <t>VÄSTRA GÖTALANDS LÄN</t>
        </is>
      </c>
      <c r="G144" t="inlineStr">
        <is>
          <t>STRÖMSTAD</t>
        </is>
      </c>
      <c r="H144" t="inlineStr">
        <is>
          <t>Kommuner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46250</v>
      </c>
      <c r="F145" t="inlineStr">
        <is>
          <t>VÄSTRA GÖTALANDS LÄN</t>
        </is>
      </c>
      <c r="G145" t="inlineStr">
        <is>
          <t>STRÖMSTAD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46250</v>
      </c>
      <c r="F146" t="inlineStr">
        <is>
          <t>VÄSTRA GÖTALANDS LÄN</t>
        </is>
      </c>
      <c r="G146" t="inlineStr">
        <is>
          <t>STRÖMSTAD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46250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46250</v>
      </c>
      <c r="F148" t="inlineStr">
        <is>
          <t>VÄSTRA GÖTALANDS LÄN</t>
        </is>
      </c>
      <c r="G148" t="inlineStr">
        <is>
          <t>STRÖMSTAD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46250</v>
      </c>
      <c r="F149" t="inlineStr">
        <is>
          <t>VÄSTRA GÖTALANDS LÄN</t>
        </is>
      </c>
      <c r="G149" t="inlineStr">
        <is>
          <t>STRÖMSTAD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46250</v>
      </c>
      <c r="F150" t="inlineStr">
        <is>
          <t>VÄSTRA GÖTALANDS LÄN</t>
        </is>
      </c>
      <c r="G150" t="inlineStr">
        <is>
          <t>STRÖMSTAD</t>
        </is>
      </c>
      <c r="H150" t="inlineStr">
        <is>
          <t>Kommuner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45645</v>
      </c>
      <c r="E151" s="1" t="n">
        <v>46250</v>
      </c>
      <c r="F151" t="inlineStr">
        <is>
          <t>VÄSTRA GÖTALANDS LÄN</t>
        </is>
      </c>
      <c r="G151" t="inlineStr">
        <is>
          <t>STRÖMSTAD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21839-2026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46250</v>
      </c>
      <c r="F152" t="inlineStr">
        <is>
          <t>VÄSTRA GÖTALANDS LÄN</t>
        </is>
      </c>
      <c r="G152" t="inlineStr">
        <is>
          <t>STRÖMSTAD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46250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21826-2026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46250</v>
      </c>
      <c r="F154" t="inlineStr">
        <is>
          <t>VÄSTRA GÖTALANDS LÄN</t>
        </is>
      </c>
      <c r="G154" t="inlineStr">
        <is>
          <t>STRÖMSTAD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46250</v>
      </c>
      <c r="F155" t="inlineStr">
        <is>
          <t>VÄSTRA GÖTALANDS LÄN</t>
        </is>
      </c>
      <c r="G155" t="inlineStr">
        <is>
          <t>STRÖMSTAD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22321-2026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46250</v>
      </c>
      <c r="F156" t="inlineStr">
        <is>
          <t>VÄSTRA GÖTALANDS LÄN</t>
        </is>
      </c>
      <c r="G156" t="inlineStr">
        <is>
          <t>STRÖMSTAD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46250</v>
      </c>
      <c r="F157" t="inlineStr">
        <is>
          <t>VÄSTRA GÖTALANDS LÄN</t>
        </is>
      </c>
      <c r="G157" t="inlineStr">
        <is>
          <t>STRÖMSTAD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45632-2024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46250</v>
      </c>
      <c r="F158" t="inlineStr">
        <is>
          <t>VÄSTRA GÖTALANDS LÄN</t>
        </is>
      </c>
      <c r="G158" t="inlineStr">
        <is>
          <t>STRÖMSTAD</t>
        </is>
      </c>
      <c r="H158" t="inlineStr">
        <is>
          <t>Kyrkan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46250</v>
      </c>
      <c r="F159" t="inlineStr">
        <is>
          <t>VÄSTRA GÖTALANDS LÄN</t>
        </is>
      </c>
      <c r="G159" t="inlineStr">
        <is>
          <t>STRÖMSTAD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46250</v>
      </c>
      <c r="F160" t="inlineStr">
        <is>
          <t>VÄSTRA GÖTALANDS LÄN</t>
        </is>
      </c>
      <c r="G160" t="inlineStr">
        <is>
          <t>STRÖMSTAD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46250</v>
      </c>
      <c r="F161" t="inlineStr">
        <is>
          <t>VÄSTRA GÖTALANDS LÄN</t>
        </is>
      </c>
      <c r="G161" t="inlineStr">
        <is>
          <t>STRÖMSTAD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46250</v>
      </c>
      <c r="F162" t="inlineStr">
        <is>
          <t>VÄSTRA GÖTALANDS LÄN</t>
        </is>
      </c>
      <c r="G162" t="inlineStr">
        <is>
          <t>STRÖMSTAD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46250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46250</v>
      </c>
      <c r="F164" t="inlineStr">
        <is>
          <t>VÄSTRA GÖTALANDS LÄN</t>
        </is>
      </c>
      <c r="G164" t="inlineStr">
        <is>
          <t>STRÖMSTAD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46250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46250</v>
      </c>
      <c r="F166" t="inlineStr">
        <is>
          <t>VÄSTRA GÖTALANDS LÄN</t>
        </is>
      </c>
      <c r="G166" t="inlineStr">
        <is>
          <t>STRÖMSTAD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56130-2022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44886</v>
      </c>
      <c r="E167" s="1" t="n">
        <v>46250</v>
      </c>
      <c r="F167" t="inlineStr">
        <is>
          <t>VÄSTRA GÖTALANDS LÄN</t>
        </is>
      </c>
      <c r="G167" t="inlineStr">
        <is>
          <t>STRÖMSTAD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45596</v>
      </c>
      <c r="E168" s="1" t="n">
        <v>46250</v>
      </c>
      <c r="F168" t="inlineStr">
        <is>
          <t>VÄSTRA GÖTALANDS LÄN</t>
        </is>
      </c>
      <c r="G168" t="inlineStr">
        <is>
          <t>STRÖMSTAD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45133</v>
      </c>
      <c r="E169" s="1" t="n">
        <v>46250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46250</v>
      </c>
      <c r="F170" t="inlineStr">
        <is>
          <t>VÄSTRA GÖTALANDS LÄN</t>
        </is>
      </c>
      <c r="G170" t="inlineStr">
        <is>
          <t>STRÖMSTAD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46250</v>
      </c>
      <c r="F171" t="inlineStr">
        <is>
          <t>VÄSTRA GÖTALANDS LÄN</t>
        </is>
      </c>
      <c r="G171" t="inlineStr">
        <is>
          <t>STRÖMSTAD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46250</v>
      </c>
      <c r="F172" t="inlineStr">
        <is>
          <t>VÄSTRA GÖTALANDS LÄN</t>
        </is>
      </c>
      <c r="G172" t="inlineStr">
        <is>
          <t>STRÖMSTAD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46250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44603</v>
      </c>
      <c r="E174" s="1" t="n">
        <v>46250</v>
      </c>
      <c r="F174" t="inlineStr">
        <is>
          <t>VÄSTRA GÖTALANDS LÄN</t>
        </is>
      </c>
      <c r="G174" t="inlineStr">
        <is>
          <t>STRÖMSTAD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46250</v>
      </c>
      <c r="F175" t="inlineStr">
        <is>
          <t>VÄSTRA GÖTALANDS LÄN</t>
        </is>
      </c>
      <c r="G175" t="inlineStr">
        <is>
          <t>STRÖMSTAD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45739</v>
      </c>
      <c r="E176" s="1" t="n">
        <v>46250</v>
      </c>
      <c r="F176" t="inlineStr">
        <is>
          <t>VÄSTRA GÖTALANDS LÄN</t>
        </is>
      </c>
      <c r="G176" t="inlineStr">
        <is>
          <t>STRÖMSTAD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46250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45739</v>
      </c>
      <c r="E178" s="1" t="n">
        <v>46250</v>
      </c>
      <c r="F178" t="inlineStr">
        <is>
          <t>VÄSTRA GÖTALANDS LÄN</t>
        </is>
      </c>
      <c r="G178" t="inlineStr">
        <is>
          <t>STRÖMSTAD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46250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46250</v>
      </c>
      <c r="F180" t="inlineStr">
        <is>
          <t>VÄSTRA GÖTALANDS LÄN</t>
        </is>
      </c>
      <c r="G180" t="inlineStr">
        <is>
          <t>STRÖMSTAD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46250</v>
      </c>
      <c r="F181" t="inlineStr">
        <is>
          <t>VÄSTRA GÖTALANDS LÄN</t>
        </is>
      </c>
      <c r="G181" t="inlineStr">
        <is>
          <t>STRÖMSTAD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46250</v>
      </c>
      <c r="F182" t="inlineStr">
        <is>
          <t>VÄSTRA GÖTALANDS LÄN</t>
        </is>
      </c>
      <c r="G182" t="inlineStr">
        <is>
          <t>STRÖMSTAD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46250</v>
      </c>
      <c r="F183" t="inlineStr">
        <is>
          <t>VÄSTRA GÖTALANDS LÄN</t>
        </is>
      </c>
      <c r="G183" t="inlineStr">
        <is>
          <t>STRÖMSTAD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45366</v>
      </c>
      <c r="E184" s="1" t="n">
        <v>46250</v>
      </c>
      <c r="F184" t="inlineStr">
        <is>
          <t>VÄSTRA GÖTALANDS LÄN</t>
        </is>
      </c>
      <c r="G184" t="inlineStr">
        <is>
          <t>STRÖMSTAD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46250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46250</v>
      </c>
      <c r="F186" t="inlineStr">
        <is>
          <t>VÄSTRA GÖTALANDS LÄN</t>
        </is>
      </c>
      <c r="G186" t="inlineStr">
        <is>
          <t>STRÖMSTAD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46250</v>
      </c>
      <c r="F187" t="inlineStr">
        <is>
          <t>VÄSTRA GÖTALANDS LÄN</t>
        </is>
      </c>
      <c r="G187" t="inlineStr">
        <is>
          <t>STRÖMSTAD</t>
        </is>
      </c>
      <c r="I187" t="n">
        <v>14.5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46182</v>
      </c>
      <c r="E188" s="1" t="n">
        <v>46250</v>
      </c>
      <c r="F188" t="inlineStr">
        <is>
          <t>VÄSTRA GÖTALANDS LÄN</t>
        </is>
      </c>
      <c r="G188" t="inlineStr">
        <is>
          <t>STRÖMSTAD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44649</v>
      </c>
      <c r="E189" s="1" t="n">
        <v>46250</v>
      </c>
      <c r="F189" t="inlineStr">
        <is>
          <t>VÄSTRA GÖTALANDS LÄN</t>
        </is>
      </c>
      <c r="G189" t="inlineStr">
        <is>
          <t>STRÖMSTAD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45018</v>
      </c>
      <c r="E190" s="1" t="n">
        <v>46250</v>
      </c>
      <c r="F190" t="inlineStr">
        <is>
          <t>VÄSTRA GÖTALANDS LÄN</t>
        </is>
      </c>
      <c r="G190" t="inlineStr">
        <is>
          <t>STRÖMSTAD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46250</v>
      </c>
      <c r="F191" t="inlineStr">
        <is>
          <t>VÄSTRA GÖTALANDS LÄN</t>
        </is>
      </c>
      <c r="G191" t="inlineStr">
        <is>
          <t>STRÖMSTAD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45217</v>
      </c>
      <c r="E192" s="1" t="n">
        <v>46250</v>
      </c>
      <c r="F192" t="inlineStr">
        <is>
          <t>VÄSTRA GÖTALANDS LÄN</t>
        </is>
      </c>
      <c r="G192" t="inlineStr">
        <is>
          <t>STRÖMSTAD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46250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8047-2024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45351</v>
      </c>
      <c r="E194" s="1" t="n">
        <v>46250</v>
      </c>
      <c r="F194" t="inlineStr">
        <is>
          <t>VÄSTRA GÖTALANDS LÄN</t>
        </is>
      </c>
      <c r="G194" t="inlineStr">
        <is>
          <t>STRÖMSTAD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46250</v>
      </c>
      <c r="F195" t="inlineStr">
        <is>
          <t>VÄSTRA GÖTALANDS LÄN</t>
        </is>
      </c>
      <c r="G195" t="inlineStr">
        <is>
          <t>STRÖMSTAD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46250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44701</v>
      </c>
      <c r="E197" s="1" t="n">
        <v>46250</v>
      </c>
      <c r="F197" t="inlineStr">
        <is>
          <t>VÄSTRA GÖTALANDS LÄN</t>
        </is>
      </c>
      <c r="G197" t="inlineStr">
        <is>
          <t>STRÖMSTAD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46250</v>
      </c>
      <c r="F198" t="inlineStr">
        <is>
          <t>VÄSTRA GÖTALANDS LÄN</t>
        </is>
      </c>
      <c r="G198" t="inlineStr">
        <is>
          <t>STRÖMSTAD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46250</v>
      </c>
      <c r="F199" t="inlineStr">
        <is>
          <t>VÄSTRA GÖTALANDS LÄN</t>
        </is>
      </c>
      <c r="G199" t="inlineStr">
        <is>
          <t>STRÖMSTAD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46250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46250</v>
      </c>
      <c r="F201" t="inlineStr">
        <is>
          <t>VÄSTRA GÖTALANDS LÄN</t>
        </is>
      </c>
      <c r="G201" t="inlineStr">
        <is>
          <t>STRÖMSTAD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46250</v>
      </c>
      <c r="F202" t="inlineStr">
        <is>
          <t>VÄSTRA GÖTALANDS LÄN</t>
        </is>
      </c>
      <c r="G202" t="inlineStr">
        <is>
          <t>STRÖMSTAD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46196</v>
      </c>
      <c r="E203" s="1" t="n">
        <v>46250</v>
      </c>
      <c r="F203" t="inlineStr">
        <is>
          <t>VÄSTRA GÖTALANDS LÄN</t>
        </is>
      </c>
      <c r="G203" t="inlineStr">
        <is>
          <t>STRÖMSTAD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46156</v>
      </c>
      <c r="E204" s="1" t="n">
        <v>46250</v>
      </c>
      <c r="F204" t="inlineStr">
        <is>
          <t>VÄSTRA GÖTALANDS LÄN</t>
        </is>
      </c>
      <c r="G204" t="inlineStr">
        <is>
          <t>STRÖMSTAD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46250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46204</v>
      </c>
      <c r="E206" s="1" t="n">
        <v>46250</v>
      </c>
      <c r="F206" t="inlineStr">
        <is>
          <t>VÄSTRA GÖTALANDS LÄN</t>
        </is>
      </c>
      <c r="G206" t="inlineStr">
        <is>
          <t>STRÖMSTAD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46250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46250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46250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2026-08-16T01:47:29Z</dcterms:created>
  <dcterms:modified xmlns:dcterms="http://purl.org/dc/terms/" xmlns:xsi="http://www.w3.org/2001/XMLSchema-instance" xsi:type="dcterms:W3CDTF">2026-08-16T01:47:30Z</dcterms:modified>
</cp:coreProperties>
</file>