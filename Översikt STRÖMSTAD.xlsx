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46305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46305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46305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46305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46305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46305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46305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46305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46305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46305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46305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10764-2024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46305</v>
      </c>
      <c r="F18" t="inlineStr">
        <is>
          <t>VÄSTRA GÖTALANDS LÄN</t>
        </is>
      </c>
      <c r="G18" t="inlineStr">
        <is>
          <t>STRÖMSTAD</t>
        </is>
      </c>
      <c r="I18" t="n">
        <v>8.300000000000001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10764-2024 artfynd.xlsx", "A 10764-2024")</f>
        <v/>
      </c>
      <c r="X18">
        <f>HYPERLINK("https://klasma.github.io/Logging_1486/kartor/A 10764-2024 karta.png", "A 10764-2024")</f>
        <v/>
      </c>
      <c r="Y18">
        <f>HYPERLINK("https://klasma.github.io/Logging_1486/kartor_geotiff/A 10764-2024 georefererad karta.tif", "A 10764-2024")</f>
        <v/>
      </c>
      <c r="AA18">
        <f>HYPERLINK("https://klasma.github.io/Logging_1486/klagomål/A 10764-2024 FSC-klagomål.docx", "A 10764-2024")</f>
        <v/>
      </c>
      <c r="AB18">
        <f>HYPERLINK("https://klasma.github.io/Logging_1486/klagomålsmail/A 10764-2024 FSC-klagomål mail.docx", "A 10764-2024")</f>
        <v/>
      </c>
      <c r="AC18">
        <f>HYPERLINK("https://klasma.github.io/Logging_1486/tillsyn/A 10764-2024 tillsynsbegäran.docx", "A 10764-2024")</f>
        <v/>
      </c>
      <c r="AD18">
        <f>HYPERLINK("https://klasma.github.io/Logging_1486/tillsynsmail/A 10764-2024 tillsynsbegäran mail.docx", "A 10764-2024")</f>
        <v/>
      </c>
    </row>
    <row r="19" ht="15" customHeight="1">
      <c r="A19" t="inlineStr">
        <is>
          <t>A 53485-2023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46305</v>
      </c>
      <c r="F19" t="inlineStr">
        <is>
          <t>VÄSTRA GÖTALANDS LÄN</t>
        </is>
      </c>
      <c r="G19" t="inlineStr">
        <is>
          <t>STRÖMSTAD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HYPERLINK("https://klasma.github.io/Logging_1486/artfynd/A 53485-2023 artfynd.xlsx", "A 53485-2023")</f>
        <v/>
      </c>
      <c r="X19">
        <f>HYPERLINK("https://klasma.github.io/Logging_1486/kartor/A 53485-2023 karta.png", "A 53485-2023")</f>
        <v/>
      </c>
      <c r="Y19">
        <f>HYPERLINK("https://klasma.github.io/Logging_1486/kartor_geotiff/A 53485-2023 georefererad karta.tif", "A 53485-2023")</f>
        <v/>
      </c>
      <c r="AA19">
        <f>HYPERLINK("https://klasma.github.io/Logging_1486/klagomål/A 53485-2023 FSC-klagomål.docx", "A 53485-2023")</f>
        <v/>
      </c>
      <c r="AB19">
        <f>HYPERLINK("https://klasma.github.io/Logging_1486/klagomålsmail/A 53485-2023 FSC-klagomål mail.docx", "A 53485-2023")</f>
        <v/>
      </c>
      <c r="AC19">
        <f>HYPERLINK("https://klasma.github.io/Logging_1486/tillsyn/A 53485-2023 tillsynsbegäran.docx", "A 53485-2023")</f>
        <v/>
      </c>
      <c r="AD19">
        <f>HYPERLINK("https://klasma.github.io/Logging_1486/tillsynsmail/A 53485-2023 tillsynsbegäran mail.docx", "A 53485-2023")</f>
        <v/>
      </c>
      <c r="AE19">
        <f>HYPERLINK("https://klasma.github.io/Logging_1486/fåglar/A 53485-2023 prioriterade fågelarter.docx", "A 53485-2023")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46305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46305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12779-2025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46305</v>
      </c>
      <c r="F22" t="inlineStr">
        <is>
          <t>VÄSTRA GÖTALANDS LÄN</t>
        </is>
      </c>
      <c r="G22" t="inlineStr">
        <is>
          <t>STRÖMSTAD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HYPERLINK("https://klasma.github.io/Logging_1486/artfynd/A 12779-2025 artfynd.xlsx", "A 12779-2025")</f>
        <v/>
      </c>
      <c r="X22">
        <f>HYPERLINK("https://klasma.github.io/Logging_1486/kartor/A 12779-2025 karta.png", "A 12779-2025")</f>
        <v/>
      </c>
      <c r="Y22">
        <f>HYPERLINK("https://klasma.github.io/Logging_1486/kartor_geotiff/A 12779-2025 georefererad karta.tif", "A 12779-2025")</f>
        <v/>
      </c>
      <c r="AA22">
        <f>HYPERLINK("https://klasma.github.io/Logging_1486/klagomål/A 12779-2025 FSC-klagomål.docx", "A 12779-2025")</f>
        <v/>
      </c>
      <c r="AB22">
        <f>HYPERLINK("https://klasma.github.io/Logging_1486/klagomålsmail/A 12779-2025 FSC-klagomål mail.docx", "A 12779-2025")</f>
        <v/>
      </c>
      <c r="AC22">
        <f>HYPERLINK("https://klasma.github.io/Logging_1486/tillsyn/A 12779-2025 tillsynsbegäran.docx", "A 12779-2025")</f>
        <v/>
      </c>
      <c r="AD22">
        <f>HYPERLINK("https://klasma.github.io/Logging_1486/tillsynsmail/A 12779-2025 tillsynsbegäran mail.docx", "A 12779-2025")</f>
        <v/>
      </c>
      <c r="AE22">
        <f>HYPERLINK("https://klasma.github.io/Logging_1486/fåglar/A 12779-2025 prioriterade fågelarter.docx", "A 12779-2025")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46305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46305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46305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46305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46305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12238-2025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46305</v>
      </c>
      <c r="F28" t="inlineStr">
        <is>
          <t>VÄSTRA GÖTALANDS LÄN</t>
        </is>
      </c>
      <c r="G28" t="inlineStr">
        <is>
          <t>STRÖMSTAD</t>
        </is>
      </c>
      <c r="I28" t="n">
        <v>10.6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HYPERLINK("https://klasma.github.io/Logging_1486/artfynd/A 12238-2025 artfynd.xlsx", "A 12238-2025")</f>
        <v/>
      </c>
      <c r="X28">
        <f>HYPERLINK("https://klasma.github.io/Logging_1486/kartor/A 12238-2025 karta.png", "A 12238-2025")</f>
        <v/>
      </c>
      <c r="Y28">
        <f>HYPERLINK("https://klasma.github.io/Logging_1486/kartor_geotiff/A 12238-2025 georefererad karta.tif", "A 12238-2025")</f>
        <v/>
      </c>
      <c r="AA28">
        <f>HYPERLINK("https://klasma.github.io/Logging_1486/klagomål/A 12238-2025 FSC-klagomål.docx", "A 12238-2025")</f>
        <v/>
      </c>
      <c r="AB28">
        <f>HYPERLINK("https://klasma.github.io/Logging_1486/klagomålsmail/A 12238-2025 FSC-klagomål mail.docx", "A 12238-2025")</f>
        <v/>
      </c>
      <c r="AC28">
        <f>HYPERLINK("https://klasma.github.io/Logging_1486/tillsyn/A 12238-2025 tillsynsbegäran.docx", "A 12238-2025")</f>
        <v/>
      </c>
      <c r="AD28">
        <f>HYPERLINK("https://klasma.github.io/Logging_1486/tillsynsmail/A 12238-2025 tillsynsbegäran mail.docx", "A 12238-2025")</f>
        <v/>
      </c>
      <c r="AE28">
        <f>HYPERLINK("https://klasma.github.io/Logging_1486/fåglar/A 12238-2025 prioriterade fågelarter.docx", "A 12238-2025")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46305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46305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42077-2026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46304</v>
      </c>
      <c r="E31" s="1" t="n">
        <v>46305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HYPERLINK("https://klasma.github.io/Logging_1486/artfynd/A 42077-2026 artfynd.xlsx", "A 42077-2026")</f>
        <v/>
      </c>
      <c r="X31">
        <f>HYPERLINK("https://klasma.github.io/Logging_1486/kartor/A 42077-2026 karta.png", "A 42077-2026")</f>
        <v/>
      </c>
      <c r="Y31">
        <f>HYPERLINK("https://klasma.github.io/Logging_1486/kartor_geotiff/A 42077-2026 georefererad karta.tif", "A 42077-2026")</f>
        <v/>
      </c>
      <c r="AA31">
        <f>HYPERLINK("https://klasma.github.io/Logging_1486/klagomål/A 42077-2026 FSC-klagomål.docx", "A 42077-2026")</f>
        <v/>
      </c>
      <c r="AB31">
        <f>HYPERLINK("https://klasma.github.io/Logging_1486/klagomålsmail/A 42077-2026 FSC-klagomål mail.docx", "A 42077-2026")</f>
        <v/>
      </c>
      <c r="AC31">
        <f>HYPERLINK("https://klasma.github.io/Logging_1486/tillsyn/A 42077-2026 tillsynsbegäran.docx", "A 42077-2026")</f>
        <v/>
      </c>
      <c r="AD31">
        <f>HYPERLINK("https://klasma.github.io/Logging_1486/tillsynsmail/A 42077-2026 tillsynsbegäran mail.docx", "A 42077-2026")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46305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46305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46305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46305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46305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46305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46305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46305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46305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46305</v>
      </c>
      <c r="F41" t="inlineStr">
        <is>
          <t>VÄSTRA GÖTALANDS LÄN</t>
        </is>
      </c>
      <c r="G41" t="inlineStr">
        <is>
          <t>STRÖMSTAD</t>
        </is>
      </c>
      <c r="H41" t="inlineStr">
        <is>
          <t>Kommuner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46305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46305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46305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46305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46305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44606</v>
      </c>
      <c r="E47" s="1" t="n">
        <v>46305</v>
      </c>
      <c r="F47" t="inlineStr">
        <is>
          <t>VÄSTRA GÖTALANDS LÄN</t>
        </is>
      </c>
      <c r="G47" t="inlineStr">
        <is>
          <t>STRÖMSTAD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46305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46305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46305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46305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46305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46305</v>
      </c>
      <c r="F53" t="inlineStr">
        <is>
          <t>VÄSTRA GÖTALANDS LÄN</t>
        </is>
      </c>
      <c r="G53" t="inlineStr">
        <is>
          <t>STRÖMSTAD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44885</v>
      </c>
      <c r="E54" s="1" t="n">
        <v>46305</v>
      </c>
      <c r="F54" t="inlineStr">
        <is>
          <t>VÄSTRA GÖTALANDS LÄN</t>
        </is>
      </c>
      <c r="G54" t="inlineStr">
        <is>
          <t>STRÖMSTAD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46305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46305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46305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44763</v>
      </c>
      <c r="E58" s="1" t="n">
        <v>46305</v>
      </c>
      <c r="F58" t="inlineStr">
        <is>
          <t>VÄSTRA GÖTALANDS LÄN</t>
        </is>
      </c>
      <c r="G58" t="inlineStr">
        <is>
          <t>STRÖMSTAD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44774</v>
      </c>
      <c r="E59" s="1" t="n">
        <v>46305</v>
      </c>
      <c r="F59" t="inlineStr">
        <is>
          <t>VÄSTRA GÖTALANDS LÄN</t>
        </is>
      </c>
      <c r="G59" t="inlineStr">
        <is>
          <t>STRÖMSTAD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45301</v>
      </c>
      <c r="E60" s="1" t="n">
        <v>46305</v>
      </c>
      <c r="F60" t="inlineStr">
        <is>
          <t>VÄSTRA GÖTALANDS LÄN</t>
        </is>
      </c>
      <c r="G60" t="inlineStr">
        <is>
          <t>STRÖMSTAD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46305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46305</v>
      </c>
      <c r="F62" t="inlineStr">
        <is>
          <t>VÄSTRA GÖTALANDS LÄN</t>
        </is>
      </c>
      <c r="G62" t="inlineStr">
        <is>
          <t>STRÖMSTAD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46305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56024-2023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45240</v>
      </c>
      <c r="E64" s="1" t="n">
        <v>46305</v>
      </c>
      <c r="F64" t="inlineStr">
        <is>
          <t>VÄSTRA GÖTALANDS LÄN</t>
        </is>
      </c>
      <c r="G64" t="inlineStr">
        <is>
          <t>STRÖMSTAD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45331</v>
      </c>
      <c r="E65" s="1" t="n">
        <v>46305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46305</v>
      </c>
      <c r="F66" t="inlineStr">
        <is>
          <t>VÄSTRA GÖTALANDS LÄN</t>
        </is>
      </c>
      <c r="G66" t="inlineStr">
        <is>
          <t>STRÖMSTAD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46305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46305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17525-2025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46305</v>
      </c>
      <c r="F69" t="inlineStr">
        <is>
          <t>VÄSTRA GÖTALANDS LÄN</t>
        </is>
      </c>
      <c r="G69" t="inlineStr">
        <is>
          <t>STRÖMSTAD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44907</v>
      </c>
      <c r="E70" s="1" t="n">
        <v>46305</v>
      </c>
      <c r="F70" t="inlineStr">
        <is>
          <t>VÄSTRA GÖTALANDS LÄN</t>
        </is>
      </c>
      <c r="G70" t="inlineStr">
        <is>
          <t>STRÖMSTAD</t>
        </is>
      </c>
      <c r="I70" t="n">
        <v>10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46305</v>
      </c>
      <c r="F71" t="inlineStr">
        <is>
          <t>VÄSTRA GÖTALANDS LÄN</t>
        </is>
      </c>
      <c r="G71" t="inlineStr">
        <is>
          <t>STRÖMSTAD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46305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46305</v>
      </c>
      <c r="F73" t="inlineStr">
        <is>
          <t>VÄSTRA GÖTALANDS LÄN</t>
        </is>
      </c>
      <c r="G73" t="inlineStr">
        <is>
          <t>STRÖMSTAD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46305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46305</v>
      </c>
      <c r="F75" t="inlineStr">
        <is>
          <t>VÄSTRA GÖTALANDS LÄN</t>
        </is>
      </c>
      <c r="G75" t="inlineStr">
        <is>
          <t>STRÖMSTAD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45316</v>
      </c>
      <c r="E76" s="1" t="n">
        <v>46305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46305</v>
      </c>
      <c r="F77" t="inlineStr">
        <is>
          <t>VÄSTRA GÖTALANDS LÄN</t>
        </is>
      </c>
      <c r="G77" t="inlineStr">
        <is>
          <t>STRÖMSTAD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46305</v>
      </c>
      <c r="F78" t="inlineStr">
        <is>
          <t>VÄSTRA GÖTALANDS LÄN</t>
        </is>
      </c>
      <c r="G78" t="inlineStr">
        <is>
          <t>STRÖMSTAD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44886</v>
      </c>
      <c r="E79" s="1" t="n">
        <v>46305</v>
      </c>
      <c r="F79" t="inlineStr">
        <is>
          <t>VÄSTRA GÖTALANDS LÄN</t>
        </is>
      </c>
      <c r="G79" t="inlineStr">
        <is>
          <t>STRÖMSTAD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46305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46305</v>
      </c>
      <c r="F81" t="inlineStr">
        <is>
          <t>VÄSTRA GÖTALANDS LÄN</t>
        </is>
      </c>
      <c r="G81" t="inlineStr">
        <is>
          <t>STRÖMSTAD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46305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46305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Kyrkan</t>
        </is>
      </c>
      <c r="I83" t="n">
        <v>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46305</v>
      </c>
      <c r="F84" t="inlineStr">
        <is>
          <t>VÄSTRA GÖTALANDS LÄN</t>
        </is>
      </c>
      <c r="G84" t="inlineStr">
        <is>
          <t>STRÖMSTAD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46305</v>
      </c>
      <c r="F85" t="inlineStr">
        <is>
          <t>VÄSTRA GÖTALANDS LÄN</t>
        </is>
      </c>
      <c r="G85" t="inlineStr">
        <is>
          <t>STRÖMSTAD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46305</v>
      </c>
      <c r="F86" t="inlineStr">
        <is>
          <t>VÄSTRA GÖTALANDS LÄN</t>
        </is>
      </c>
      <c r="G86" t="inlineStr">
        <is>
          <t>STRÖMSTAD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46305</v>
      </c>
      <c r="F87" t="inlineStr">
        <is>
          <t>VÄSTRA GÖTALANDS LÄN</t>
        </is>
      </c>
      <c r="G87" t="inlineStr">
        <is>
          <t>STRÖMSTAD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46305</v>
      </c>
      <c r="F88" t="inlineStr">
        <is>
          <t>VÄSTRA GÖTALANDS LÄN</t>
        </is>
      </c>
      <c r="G88" t="inlineStr">
        <is>
          <t>STRÖMSTAD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45482</v>
      </c>
      <c r="E89" s="1" t="n">
        <v>46305</v>
      </c>
      <c r="F89" t="inlineStr">
        <is>
          <t>VÄSTRA GÖTALANDS LÄN</t>
        </is>
      </c>
      <c r="G89" t="inlineStr">
        <is>
          <t>STRÖMSTAD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46305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46305</v>
      </c>
      <c r="F91" t="inlineStr">
        <is>
          <t>VÄSTRA GÖTALANDS LÄN</t>
        </is>
      </c>
      <c r="G91" t="inlineStr">
        <is>
          <t>STRÖMSTAD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46305</v>
      </c>
      <c r="F92" t="inlineStr">
        <is>
          <t>VÄSTRA GÖTALANDS LÄN</t>
        </is>
      </c>
      <c r="G92" t="inlineStr">
        <is>
          <t>STRÖMSTAD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46305</v>
      </c>
      <c r="F93" t="inlineStr">
        <is>
          <t>VÄSTRA GÖTALANDS LÄN</t>
        </is>
      </c>
      <c r="G93" t="inlineStr">
        <is>
          <t>STRÖMSTAD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46305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46305</v>
      </c>
      <c r="F95" t="inlineStr">
        <is>
          <t>VÄSTRA GÖTALANDS LÄN</t>
        </is>
      </c>
      <c r="G95" t="inlineStr">
        <is>
          <t>STRÖMSTAD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46305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46305</v>
      </c>
      <c r="F97" t="inlineStr">
        <is>
          <t>VÄSTRA GÖTALANDS LÄN</t>
        </is>
      </c>
      <c r="G97" t="inlineStr">
        <is>
          <t>STRÖMSTAD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46305</v>
      </c>
      <c r="F98" t="inlineStr">
        <is>
          <t>VÄSTRA GÖTALANDS LÄN</t>
        </is>
      </c>
      <c r="G98" t="inlineStr">
        <is>
          <t>STRÖMSTAD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46305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46305</v>
      </c>
      <c r="F100" t="inlineStr">
        <is>
          <t>VÄSTRA GÖTALANDS LÄN</t>
        </is>
      </c>
      <c r="G100" t="inlineStr">
        <is>
          <t>STRÖMSTAD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45126</v>
      </c>
      <c r="E101" s="1" t="n">
        <v>46305</v>
      </c>
      <c r="F101" t="inlineStr">
        <is>
          <t>VÄSTRA GÖTALANDS LÄN</t>
        </is>
      </c>
      <c r="G101" t="inlineStr">
        <is>
          <t>STRÖMSTAD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46305</v>
      </c>
      <c r="F102" t="inlineStr">
        <is>
          <t>VÄSTRA GÖTALANDS LÄN</t>
        </is>
      </c>
      <c r="G102" t="inlineStr">
        <is>
          <t>STRÖMSTAD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45126</v>
      </c>
      <c r="E103" s="1" t="n">
        <v>46305</v>
      </c>
      <c r="F103" t="inlineStr">
        <is>
          <t>VÄSTRA GÖTALANDS LÄN</t>
        </is>
      </c>
      <c r="G103" t="inlineStr">
        <is>
          <t>STRÖMSTAD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45739</v>
      </c>
      <c r="E104" s="1" t="n">
        <v>46305</v>
      </c>
      <c r="F104" t="inlineStr">
        <is>
          <t>VÄSTRA GÖTALANDS LÄN</t>
        </is>
      </c>
      <c r="G104" t="inlineStr">
        <is>
          <t>STRÖMSTAD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46305</v>
      </c>
      <c r="F105" t="inlineStr">
        <is>
          <t>VÄSTRA GÖTALANDS LÄN</t>
        </is>
      </c>
      <c r="G105" t="inlineStr">
        <is>
          <t>STRÖMSTAD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46305</v>
      </c>
      <c r="F106" t="inlineStr">
        <is>
          <t>VÄSTRA GÖTALANDS LÄN</t>
        </is>
      </c>
      <c r="G106" t="inlineStr">
        <is>
          <t>STRÖMSTAD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45555</v>
      </c>
      <c r="E107" s="1" t="n">
        <v>46305</v>
      </c>
      <c r="F107" t="inlineStr">
        <is>
          <t>VÄSTRA GÖTALANDS LÄN</t>
        </is>
      </c>
      <c r="G107" t="inlineStr">
        <is>
          <t>STRÖMSTAD</t>
        </is>
      </c>
      <c r="I107" t="n">
        <v>14.5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46305</v>
      </c>
      <c r="F108" t="inlineStr">
        <is>
          <t>VÄSTRA GÖTALANDS LÄN</t>
        </is>
      </c>
      <c r="G108" t="inlineStr">
        <is>
          <t>STRÖMSTAD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46305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46305</v>
      </c>
      <c r="F110" t="inlineStr">
        <is>
          <t>VÄSTRA GÖTALANDS LÄN</t>
        </is>
      </c>
      <c r="G110" t="inlineStr">
        <is>
          <t>STRÖMSTAD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46305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46305</v>
      </c>
      <c r="F112" t="inlineStr">
        <is>
          <t>VÄSTRA GÖTALANDS LÄN</t>
        </is>
      </c>
      <c r="G112" t="inlineStr">
        <is>
          <t>STRÖMSTAD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44645</v>
      </c>
      <c r="E113" s="1" t="n">
        <v>46305</v>
      </c>
      <c r="F113" t="inlineStr">
        <is>
          <t>VÄSTRA GÖTALANDS LÄN</t>
        </is>
      </c>
      <c r="G113" t="inlineStr">
        <is>
          <t>STRÖMSTAD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46305</v>
      </c>
      <c r="F114" t="inlineStr">
        <is>
          <t>VÄSTRA GÖTALANDS LÄN</t>
        </is>
      </c>
      <c r="G114" t="inlineStr">
        <is>
          <t>STRÖMSTAD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45018</v>
      </c>
      <c r="E115" s="1" t="n">
        <v>46305</v>
      </c>
      <c r="F115" t="inlineStr">
        <is>
          <t>VÄSTRA GÖTALANDS LÄN</t>
        </is>
      </c>
      <c r="G115" t="inlineStr">
        <is>
          <t>STRÖMSTAD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46305</v>
      </c>
      <c r="F116" t="inlineStr">
        <is>
          <t>VÄSTRA GÖTALANDS LÄN</t>
        </is>
      </c>
      <c r="G116" t="inlineStr">
        <is>
          <t>STRÖMSTAD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46305</v>
      </c>
      <c r="F117" t="inlineStr">
        <is>
          <t>VÄSTRA GÖTALANDS LÄN</t>
        </is>
      </c>
      <c r="G117" t="inlineStr">
        <is>
          <t>STRÖMSTAD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46305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Övriga Aktiebolag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46305</v>
      </c>
      <c r="F119" t="inlineStr">
        <is>
          <t>VÄSTRA GÖTALANDS LÄN</t>
        </is>
      </c>
      <c r="G119" t="inlineStr">
        <is>
          <t>STRÖMSTAD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8047-2024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45351</v>
      </c>
      <c r="E120" s="1" t="n">
        <v>46305</v>
      </c>
      <c r="F120" t="inlineStr">
        <is>
          <t>VÄSTRA GÖTALANDS LÄN</t>
        </is>
      </c>
      <c r="G120" t="inlineStr">
        <is>
          <t>STRÖMSTAD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46305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46305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46305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46305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46305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46305</v>
      </c>
      <c r="F126" t="inlineStr">
        <is>
          <t>VÄSTRA GÖTALANDS LÄN</t>
        </is>
      </c>
      <c r="G126" t="inlineStr">
        <is>
          <t>STRÖMSTAD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46305</v>
      </c>
      <c r="F127" t="inlineStr">
        <is>
          <t>VÄSTRA GÖTALANDS LÄN</t>
        </is>
      </c>
      <c r="G127" t="inlineStr">
        <is>
          <t>STRÖMSTAD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46305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46305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46305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46305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46305</v>
      </c>
      <c r="F132" t="inlineStr">
        <is>
          <t>VÄSTRA GÖTALANDS LÄN</t>
        </is>
      </c>
      <c r="G132" t="inlineStr">
        <is>
          <t>STRÖMSTAD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46305</v>
      </c>
      <c r="F133" t="inlineStr">
        <is>
          <t>VÄSTRA GÖTALANDS LÄN</t>
        </is>
      </c>
      <c r="G133" t="inlineStr">
        <is>
          <t>STRÖMSTAD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46305</v>
      </c>
      <c r="F134" t="inlineStr">
        <is>
          <t>VÄSTRA GÖTALANDS LÄN</t>
        </is>
      </c>
      <c r="G134" t="inlineStr">
        <is>
          <t>STRÖMSTAD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46305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46305</v>
      </c>
      <c r="F136" t="inlineStr">
        <is>
          <t>VÄSTRA GÖTALANDS LÄN</t>
        </is>
      </c>
      <c r="G136" t="inlineStr">
        <is>
          <t>STRÖMSTAD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46305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46305</v>
      </c>
      <c r="F138" t="inlineStr">
        <is>
          <t>VÄSTRA GÖTALANDS LÄN</t>
        </is>
      </c>
      <c r="G138" t="inlineStr">
        <is>
          <t>STRÖMSTAD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46305</v>
      </c>
      <c r="F139" t="inlineStr">
        <is>
          <t>VÄSTRA GÖTALANDS LÄN</t>
        </is>
      </c>
      <c r="G139" t="inlineStr">
        <is>
          <t>STRÖMSTAD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46305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46305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46305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46305</v>
      </c>
      <c r="F143" t="inlineStr">
        <is>
          <t>VÄSTRA GÖTALANDS LÄN</t>
        </is>
      </c>
      <c r="G143" t="inlineStr">
        <is>
          <t>STRÖMSTAD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46305</v>
      </c>
      <c r="F144" t="inlineStr">
        <is>
          <t>VÄSTRA GÖTALANDS LÄN</t>
        </is>
      </c>
      <c r="G144" t="inlineStr">
        <is>
          <t>STRÖMSTAD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46305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46305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45057</v>
      </c>
      <c r="E147" s="1" t="n">
        <v>46305</v>
      </c>
      <c r="F147" t="inlineStr">
        <is>
          <t>VÄSTRA GÖTALANDS LÄN</t>
        </is>
      </c>
      <c r="G147" t="inlineStr">
        <is>
          <t>STRÖMSTAD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45764</v>
      </c>
      <c r="E148" s="1" t="n">
        <v>46305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46305</v>
      </c>
      <c r="F149" t="inlineStr">
        <is>
          <t>VÄSTRA GÖTALANDS LÄN</t>
        </is>
      </c>
      <c r="G149" t="inlineStr">
        <is>
          <t>STRÖMSTAD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46305</v>
      </c>
      <c r="F150" t="inlineStr">
        <is>
          <t>VÄSTRA GÖTALANDS LÄN</t>
        </is>
      </c>
      <c r="G150" t="inlineStr">
        <is>
          <t>STRÖMSTAD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46305</v>
      </c>
      <c r="F151" t="inlineStr">
        <is>
          <t>VÄSTRA GÖTALANDS LÄN</t>
        </is>
      </c>
      <c r="G151" t="inlineStr">
        <is>
          <t>STRÖMSTAD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46305</v>
      </c>
      <c r="F152" t="inlineStr">
        <is>
          <t>VÄSTRA GÖTALANDS LÄN</t>
        </is>
      </c>
      <c r="G152" t="inlineStr">
        <is>
          <t>STRÖMSTAD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46305</v>
      </c>
      <c r="F153" t="inlineStr">
        <is>
          <t>VÄSTRA GÖTALANDS LÄN</t>
        </is>
      </c>
      <c r="G153" t="inlineStr">
        <is>
          <t>STRÖMSTAD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46305</v>
      </c>
      <c r="F154" t="inlineStr">
        <is>
          <t>VÄSTRA GÖTALANDS LÄN</t>
        </is>
      </c>
      <c r="G154" t="inlineStr">
        <is>
          <t>STRÖMSTAD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46305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46305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46305</v>
      </c>
      <c r="F157" t="inlineStr">
        <is>
          <t>VÄSTRA GÖTALANDS LÄN</t>
        </is>
      </c>
      <c r="G157" t="inlineStr">
        <is>
          <t>STRÖMSTAD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44892</v>
      </c>
      <c r="E158" s="1" t="n">
        <v>46305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46305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46103</v>
      </c>
      <c r="E160" s="1" t="n">
        <v>46305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46305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46305</v>
      </c>
      <c r="F162" t="inlineStr">
        <is>
          <t>VÄSTRA GÖTALANDS LÄN</t>
        </is>
      </c>
      <c r="G162" t="inlineStr">
        <is>
          <t>STRÖMSTAD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46305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46305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46305</v>
      </c>
      <c r="F165" t="inlineStr">
        <is>
          <t>VÄSTRA GÖTALANDS LÄN</t>
        </is>
      </c>
      <c r="G165" t="inlineStr">
        <is>
          <t>STRÖMSTAD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46305</v>
      </c>
      <c r="F166" t="inlineStr">
        <is>
          <t>VÄSTRA GÖTALANDS LÄN</t>
        </is>
      </c>
      <c r="G166" t="inlineStr">
        <is>
          <t>STRÖMSTAD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46305</v>
      </c>
      <c r="F167" t="inlineStr">
        <is>
          <t>VÄSTRA GÖTALANDS LÄN</t>
        </is>
      </c>
      <c r="G167" t="inlineStr">
        <is>
          <t>STRÖMSTAD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46305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46305</v>
      </c>
      <c r="F169" t="inlineStr">
        <is>
          <t>VÄSTRA GÖTALANDS LÄN</t>
        </is>
      </c>
      <c r="G169" t="inlineStr">
        <is>
          <t>STRÖMSTAD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46305</v>
      </c>
      <c r="F170" t="inlineStr">
        <is>
          <t>VÄSTRA GÖTALANDS LÄN</t>
        </is>
      </c>
      <c r="G170" t="inlineStr">
        <is>
          <t>STRÖMSTAD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46305</v>
      </c>
      <c r="F171" t="inlineStr">
        <is>
          <t>VÄSTRA GÖTALANDS LÄN</t>
        </is>
      </c>
      <c r="G171" t="inlineStr">
        <is>
          <t>STRÖMSTAD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46305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46305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46305</v>
      </c>
      <c r="F174" t="inlineStr">
        <is>
          <t>VÄSTRA GÖTALANDS LÄN</t>
        </is>
      </c>
      <c r="G174" t="inlineStr">
        <is>
          <t>STRÖMSTAD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46305</v>
      </c>
      <c r="F175" t="inlineStr">
        <is>
          <t>VÄSTRA GÖTALANDS LÄN</t>
        </is>
      </c>
      <c r="G175" t="inlineStr">
        <is>
          <t>STRÖMSTAD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46305</v>
      </c>
      <c r="F176" t="inlineStr">
        <is>
          <t>VÄSTRA GÖTALANDS LÄN</t>
        </is>
      </c>
      <c r="G176" t="inlineStr">
        <is>
          <t>STRÖMSTAD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46305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46305</v>
      </c>
      <c r="F178" t="inlineStr">
        <is>
          <t>VÄSTRA GÖTALANDS LÄN</t>
        </is>
      </c>
      <c r="G178" t="inlineStr">
        <is>
          <t>STRÖMSTAD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46305</v>
      </c>
      <c r="F179" t="inlineStr">
        <is>
          <t>VÄSTRA GÖTALANDS LÄN</t>
        </is>
      </c>
      <c r="G179" t="inlineStr">
        <is>
          <t>STRÖMSTAD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46305</v>
      </c>
      <c r="F180" t="inlineStr">
        <is>
          <t>VÄSTRA GÖTALANDS LÄN</t>
        </is>
      </c>
      <c r="G180" t="inlineStr">
        <is>
          <t>STRÖMSTAD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46305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46305</v>
      </c>
      <c r="F182" t="inlineStr">
        <is>
          <t>VÄSTRA GÖTALANDS LÄN</t>
        </is>
      </c>
      <c r="G182" t="inlineStr">
        <is>
          <t>STRÖMSTAD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46305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46305</v>
      </c>
      <c r="F184" t="inlineStr">
        <is>
          <t>VÄSTRA GÖTALANDS LÄN</t>
        </is>
      </c>
      <c r="G184" t="inlineStr">
        <is>
          <t>STRÖMSTAD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46305</v>
      </c>
      <c r="F185" t="inlineStr">
        <is>
          <t>VÄSTRA GÖTALANDS LÄN</t>
        </is>
      </c>
      <c r="G185" t="inlineStr">
        <is>
          <t>STRÖMSTAD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46305</v>
      </c>
      <c r="F186" t="inlineStr">
        <is>
          <t>VÄSTRA GÖTALANDS LÄN</t>
        </is>
      </c>
      <c r="G186" t="inlineStr">
        <is>
          <t>STRÖMSTAD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46305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46305</v>
      </c>
      <c r="F188" t="inlineStr">
        <is>
          <t>VÄSTRA GÖTALANDS LÄN</t>
        </is>
      </c>
      <c r="G188" t="inlineStr">
        <is>
          <t>STRÖMSTAD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46305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46305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46305</v>
      </c>
      <c r="F191" t="inlineStr">
        <is>
          <t>VÄSTRA GÖTALANDS LÄN</t>
        </is>
      </c>
      <c r="G191" t="inlineStr">
        <is>
          <t>STRÖMSTAD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46305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46305</v>
      </c>
      <c r="F193" t="inlineStr">
        <is>
          <t>VÄSTRA GÖTALANDS LÄN</t>
        </is>
      </c>
      <c r="G193" t="inlineStr">
        <is>
          <t>STRÖMSTAD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46161</v>
      </c>
      <c r="E194" s="1" t="n">
        <v>46305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46305</v>
      </c>
      <c r="F195" t="inlineStr">
        <is>
          <t>VÄSTRA GÖTALANDS LÄN</t>
        </is>
      </c>
      <c r="G195" t="inlineStr">
        <is>
          <t>STRÖMSTAD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46305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46305</v>
      </c>
      <c r="F197" t="inlineStr">
        <is>
          <t>VÄSTRA GÖTALANDS LÄN</t>
        </is>
      </c>
      <c r="G197" t="inlineStr">
        <is>
          <t>STRÖMSTAD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46156</v>
      </c>
      <c r="E198" s="1" t="n">
        <v>46305</v>
      </c>
      <c r="F198" t="inlineStr">
        <is>
          <t>VÄSTRA GÖTALANDS LÄN</t>
        </is>
      </c>
      <c r="G198" t="inlineStr">
        <is>
          <t>STRÖMSTAD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46204</v>
      </c>
      <c r="E199" s="1" t="n">
        <v>46305</v>
      </c>
      <c r="F199" t="inlineStr">
        <is>
          <t>VÄSTRA GÖTALANDS LÄN</t>
        </is>
      </c>
      <c r="G199" t="inlineStr">
        <is>
          <t>STRÖMSTAD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46305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46305</v>
      </c>
      <c r="F201" t="inlineStr">
        <is>
          <t>VÄSTRA GÖTALANDS LÄN</t>
        </is>
      </c>
      <c r="G201" t="inlineStr">
        <is>
          <t>STRÖMSTAD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46279</v>
      </c>
      <c r="E202" s="1" t="n">
        <v>46305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46273</v>
      </c>
      <c r="E203" s="1" t="n">
        <v>46305</v>
      </c>
      <c r="F203" t="inlineStr">
        <is>
          <t>VÄSTRA GÖTALANDS LÄN</t>
        </is>
      </c>
      <c r="G203" t="inlineStr">
        <is>
          <t>STRÖMSTAD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46305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Kyrkan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46305</v>
      </c>
      <c r="F205" t="inlineStr">
        <is>
          <t>VÄSTRA GÖTALANDS LÄN</t>
        </is>
      </c>
      <c r="G205" t="inlineStr">
        <is>
          <t>STRÖMSTAD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46305</v>
      </c>
      <c r="F206" t="inlineStr">
        <is>
          <t>VÄSTRA GÖTALANDS LÄN</t>
        </is>
      </c>
      <c r="G206" t="inlineStr">
        <is>
          <t>STRÖMSTAD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46305</v>
      </c>
      <c r="F207" t="inlineStr">
        <is>
          <t>VÄSTRA GÖTALANDS LÄN</t>
        </is>
      </c>
      <c r="G207" t="inlineStr">
        <is>
          <t>STRÖMSTAD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46305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46297</v>
      </c>
      <c r="E209" s="1" t="n">
        <v>46305</v>
      </c>
      <c r="F209" t="inlineStr">
        <is>
          <t>VÄSTRA GÖTALANDS LÄN</t>
        </is>
      </c>
      <c r="G209" t="inlineStr">
        <is>
          <t>STRÖMSTAD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46305</v>
      </c>
      <c r="F210" t="inlineStr">
        <is>
          <t>VÄSTRA GÖTALANDS LÄN</t>
        </is>
      </c>
      <c r="G210" t="inlineStr">
        <is>
          <t>STRÖMSTAD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3201-2023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45194</v>
      </c>
      <c r="E211" s="1" t="n">
        <v>46305</v>
      </c>
      <c r="F211" t="inlineStr">
        <is>
          <t>VÄSTRA GÖTALANDS LÄN</t>
        </is>
      </c>
      <c r="G211" t="inlineStr">
        <is>
          <t>STRÖMSTAD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4468-2022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44788</v>
      </c>
      <c r="E212" s="1" t="n">
        <v>46305</v>
      </c>
      <c r="F212" t="inlineStr">
        <is>
          <t>VÄSTRA GÖTALANDS LÄN</t>
        </is>
      </c>
      <c r="G212" t="inlineStr">
        <is>
          <t>STRÖMSTAD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85-2026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46036</v>
      </c>
      <c r="E213" s="1" t="n">
        <v>46305</v>
      </c>
      <c r="F213" t="inlineStr">
        <is>
          <t>VÄSTRA GÖTALANDS LÄN</t>
        </is>
      </c>
      <c r="G213" t="inlineStr">
        <is>
          <t>STRÖMSTAD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2026-10-10T02:01:03Z</dcterms:created>
  <dcterms:modified xmlns:dcterms="http://purl.org/dc/terms/" xmlns:xsi="http://www.w3.org/2001/XMLSchema-instance" xsi:type="dcterms:W3CDTF">2026-10-10T02:01:03Z</dcterms:modified>
</cp:coreProperties>
</file>