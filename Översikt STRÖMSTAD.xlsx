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46308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46308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46308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35974-2026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46266</v>
      </c>
      <c r="E8" s="1" t="n">
        <v>46308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Grov fjädermossa
Klippfrullania
Västlig hakmossa</t>
        </is>
      </c>
      <c r="W8">
        <f>HYPERLINK("https://klasma.github.io/Logging_1486/artfynd/A 35974-2026 artfynd.xlsx", "A 35974-2026")</f>
        <v/>
      </c>
      <c r="X8">
        <f>HYPERLINK("https://klasma.github.io/Logging_1486/kartor/A 35974-2026 karta.png", "A 35974-2026")</f>
        <v/>
      </c>
      <c r="Y8">
        <f>HYPERLINK("https://klasma.github.io/Logging_1486/kartor_geotiff/A 35974-2026 georefererad karta.tif", "A 35974-2026")</f>
        <v/>
      </c>
      <c r="AA8">
        <f>HYPERLINK("https://klasma.github.io/Logging_1486/klagomål/A 35974-2026 FSC-klagomål.docx", "A 35974-2026")</f>
        <v/>
      </c>
      <c r="AB8">
        <f>HYPERLINK("https://klasma.github.io/Logging_1486/klagomålsmail/A 35974-2026 FSC-klagomål mail.docx", "A 35974-2026")</f>
        <v/>
      </c>
      <c r="AC8">
        <f>HYPERLINK("https://klasma.github.io/Logging_1486/tillsyn/A 35974-2026 tillsynsbegäran.docx", "A 35974-2026")</f>
        <v/>
      </c>
      <c r="AD8">
        <f>HYPERLINK("https://klasma.github.io/Logging_1486/tillsynsmail/A 35974-2026 tillsynsbegäran mail.docx", "A 35974-2026")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46308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46308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46308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46308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46308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46308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46308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6128-2026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46054</v>
      </c>
      <c r="E18" s="1" t="n">
        <v>46308</v>
      </c>
      <c r="F18" t="inlineStr">
        <is>
          <t>VÄSTRA GÖTALANDS LÄN</t>
        </is>
      </c>
      <c r="G18" t="inlineStr">
        <is>
          <t>STRÖMSTAD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HYPERLINK("https://klasma.github.io/Logging_1486/artfynd/A 6128-2026 artfynd.xlsx", "A 6128-2026")</f>
        <v/>
      </c>
      <c r="X18">
        <f>HYPERLINK("https://klasma.github.io/Logging_1486/kartor/A 6128-2026 karta.png", "A 6128-2026")</f>
        <v/>
      </c>
      <c r="Y18">
        <f>HYPERLINK("https://klasma.github.io/Logging_1486/kartor_geotiff/A 6128-2026 georefererad karta.tif", "A 6128-2026")</f>
        <v/>
      </c>
      <c r="AA18">
        <f>HYPERLINK("https://klasma.github.io/Logging_1486/klagomål/A 6128-2026 FSC-klagomål.docx", "A 6128-2026")</f>
        <v/>
      </c>
      <c r="AB18">
        <f>HYPERLINK("https://klasma.github.io/Logging_1486/klagomålsmail/A 6128-2026 FSC-klagomål mail.docx", "A 6128-2026")</f>
        <v/>
      </c>
      <c r="AC18">
        <f>HYPERLINK("https://klasma.github.io/Logging_1486/tillsyn/A 6128-2026 tillsynsbegäran.docx", "A 6128-2026")</f>
        <v/>
      </c>
      <c r="AD18">
        <f>HYPERLINK("https://klasma.github.io/Logging_1486/tillsynsmail/A 6128-2026 tillsynsbegäran mail.docx", "A 6128-2026")</f>
        <v/>
      </c>
    </row>
    <row r="19" ht="15" customHeight="1">
      <c r="A19" t="inlineStr">
        <is>
          <t>A 50607-2025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46308</v>
      </c>
      <c r="F19" t="inlineStr">
        <is>
          <t>VÄSTRA GÖTALANDS LÄN</t>
        </is>
      </c>
      <c r="G19" t="inlineStr">
        <is>
          <t>STRÖMSTAD</t>
        </is>
      </c>
      <c r="I19" t="n">
        <v>14.5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padda</t>
        </is>
      </c>
      <c r="W19">
        <f>HYPERLINK("https://klasma.github.io/Logging_1486/artfynd/A 50607-2025 artfynd.xlsx", "A 50607-2025")</f>
        <v/>
      </c>
      <c r="X19">
        <f>HYPERLINK("https://klasma.github.io/Logging_1486/kartor/A 50607-2025 karta.png", "A 50607-2025")</f>
        <v/>
      </c>
      <c r="Y19">
        <f>HYPERLINK("https://klasma.github.io/Logging_1486/kartor_geotiff/A 50607-2025 georefererad karta.tif", "A 50607-2025")</f>
        <v/>
      </c>
      <c r="AA19">
        <f>HYPERLINK("https://klasma.github.io/Logging_1486/klagomål/A 50607-2025 FSC-klagomål.docx", "A 50607-2025")</f>
        <v/>
      </c>
      <c r="AB19">
        <f>HYPERLINK("https://klasma.github.io/Logging_1486/klagomålsmail/A 50607-2025 FSC-klagomål mail.docx", "A 50607-2025")</f>
        <v/>
      </c>
      <c r="AC19">
        <f>HYPERLINK("https://klasma.github.io/Logging_1486/tillsyn/A 50607-2025 tillsynsbegäran.docx", "A 50607-2025")</f>
        <v/>
      </c>
      <c r="AD19">
        <f>HYPERLINK("https://klasma.github.io/Logging_1486/tillsynsmail/A 50607-2025 tillsynsbegäran mail.docx", "A 50607-2025")</f>
        <v/>
      </c>
    </row>
    <row r="20" ht="15" customHeight="1">
      <c r="A20" t="inlineStr">
        <is>
          <t>A 33772-2023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45133</v>
      </c>
      <c r="E20" s="1" t="n">
        <v>46308</v>
      </c>
      <c r="F20" t="inlineStr">
        <is>
          <t>VÄSTRA GÖTALANDS LÄN</t>
        </is>
      </c>
      <c r="G20" t="inlineStr">
        <is>
          <t>STRÖMSTAD</t>
        </is>
      </c>
      <c r="I20" t="n">
        <v>2.2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Entita</t>
        </is>
      </c>
      <c r="W20">
        <f>HYPERLINK("https://klasma.github.io/Logging_1486/artfynd/A 33772-2023 artfynd.xlsx", "A 33772-2023")</f>
        <v/>
      </c>
      <c r="X20">
        <f>HYPERLINK("https://klasma.github.io/Logging_1486/kartor/A 33772-2023 karta.png", "A 33772-2023")</f>
        <v/>
      </c>
      <c r="Y20">
        <f>HYPERLINK("https://klasma.github.io/Logging_1486/kartor_geotiff/A 33772-2023 georefererad karta.tif", "A 33772-2023")</f>
        <v/>
      </c>
      <c r="AA20">
        <f>HYPERLINK("https://klasma.github.io/Logging_1486/klagomål/A 33772-2023 FSC-klagomål.docx", "A 33772-2023")</f>
        <v/>
      </c>
      <c r="AB20">
        <f>HYPERLINK("https://klasma.github.io/Logging_1486/klagomålsmail/A 33772-2023 FSC-klagomål mail.docx", "A 33772-2023")</f>
        <v/>
      </c>
      <c r="AC20">
        <f>HYPERLINK("https://klasma.github.io/Logging_1486/tillsyn/A 33772-2023 tillsynsbegäran.docx", "A 33772-2023")</f>
        <v/>
      </c>
      <c r="AD20">
        <f>HYPERLINK("https://klasma.github.io/Logging_1486/tillsynsmail/A 33772-2023 tillsynsbegäran mail.docx", "A 33772-2023")</f>
        <v/>
      </c>
      <c r="AE20">
        <f>HYPERLINK("https://klasma.github.io/Logging_1486/fåglar/A 33772-2023 prioriterade fågelarter.docx", "A 33772-2023")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46308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46308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46308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46308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42077-2026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46304</v>
      </c>
      <c r="E25" s="1" t="n">
        <v>46308</v>
      </c>
      <c r="F25" t="inlineStr">
        <is>
          <t>VÄSTRA GÖTALANDS LÄN</t>
        </is>
      </c>
      <c r="G25" t="inlineStr">
        <is>
          <t>STRÖMSTAD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Strutbräken</t>
        </is>
      </c>
      <c r="W25">
        <f>HYPERLINK("https://klasma.github.io/Logging_1486/artfynd/A 42077-2026 artfynd.xlsx", "A 42077-2026")</f>
        <v/>
      </c>
      <c r="X25">
        <f>HYPERLINK("https://klasma.github.io/Logging_1486/kartor/A 42077-2026 karta.png", "A 42077-2026")</f>
        <v/>
      </c>
      <c r="Y25">
        <f>HYPERLINK("https://klasma.github.io/Logging_1486/kartor_geotiff/A 42077-2026 georefererad karta.tif", "A 42077-2026")</f>
        <v/>
      </c>
      <c r="AA25">
        <f>HYPERLINK("https://klasma.github.io/Logging_1486/klagomål/A 42077-2026 FSC-klagomål.docx", "A 42077-2026")</f>
        <v/>
      </c>
      <c r="AB25">
        <f>HYPERLINK("https://klasma.github.io/Logging_1486/klagomålsmail/A 42077-2026 FSC-klagomål mail.docx", "A 42077-2026")</f>
        <v/>
      </c>
      <c r="AC25">
        <f>HYPERLINK("https://klasma.github.io/Logging_1486/tillsyn/A 42077-2026 tillsynsbegäran.docx", "A 42077-2026")</f>
        <v/>
      </c>
      <c r="AD25">
        <f>HYPERLINK("https://klasma.github.io/Logging_1486/tillsynsmail/A 42077-2026 tillsynsbegäran mail.docx", "A 42077-2026")</f>
        <v/>
      </c>
    </row>
    <row r="26" ht="15" customHeight="1">
      <c r="A26" t="inlineStr">
        <is>
          <t>A 35813-2026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46264</v>
      </c>
      <c r="E26" s="1" t="n">
        <v>46308</v>
      </c>
      <c r="F26" t="inlineStr">
        <is>
          <t>VÄSTRA GÖTALANDS LÄN</t>
        </is>
      </c>
      <c r="G26" t="inlineStr">
        <is>
          <t>STRÖMSTAD</t>
        </is>
      </c>
      <c r="I26" t="n">
        <v>23.7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35813-2026 artfynd.xlsx", "A 35813-2026")</f>
        <v/>
      </c>
      <c r="X26">
        <f>HYPERLINK("https://klasma.github.io/Logging_1486/kartor/A 35813-2026 karta.png", "A 35813-2026")</f>
        <v/>
      </c>
      <c r="Y26">
        <f>HYPERLINK("https://klasma.github.io/Logging_1486/kartor_geotiff/A 35813-2026 georefererad karta.tif", "A 35813-2026")</f>
        <v/>
      </c>
      <c r="AA26">
        <f>HYPERLINK("https://klasma.github.io/Logging_1486/klagomål/A 35813-2026 FSC-klagomål.docx", "A 35813-2026")</f>
        <v/>
      </c>
      <c r="AB26">
        <f>HYPERLINK("https://klasma.github.io/Logging_1486/klagomålsmail/A 35813-2026 FSC-klagomål mail.docx", "A 35813-2026")</f>
        <v/>
      </c>
      <c r="AC26">
        <f>HYPERLINK("https://klasma.github.io/Logging_1486/tillsyn/A 35813-2026 tillsynsbegäran.docx", "A 35813-2026")</f>
        <v/>
      </c>
      <c r="AD26">
        <f>HYPERLINK("https://klasma.github.io/Logging_1486/tillsynsmail/A 35813-2026 tillsynsbegäran mail.docx", "A 35813-2026")</f>
        <v/>
      </c>
    </row>
    <row r="27" ht="15" customHeight="1">
      <c r="A27" t="inlineStr">
        <is>
          <t>A 15667-2024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45404</v>
      </c>
      <c r="E27" s="1" t="n">
        <v>46308</v>
      </c>
      <c r="F27" t="inlineStr">
        <is>
          <t>VÄSTRA GÖTALANDS LÄN</t>
        </is>
      </c>
      <c r="G27" t="inlineStr">
        <is>
          <t>STRÖMSTAD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HYPERLINK("https://klasma.github.io/Logging_1486/artfynd/A 15667-2024 artfynd.xlsx", "A 15667-2024")</f>
        <v/>
      </c>
      <c r="X27">
        <f>HYPERLINK("https://klasma.github.io/Logging_1486/kartor/A 15667-2024 karta.png", "A 15667-2024")</f>
        <v/>
      </c>
      <c r="Y27">
        <f>HYPERLINK("https://klasma.github.io/Logging_1486/kartor_geotiff/A 15667-2024 georefererad karta.tif", "A 15667-2024")</f>
        <v/>
      </c>
      <c r="AA27">
        <f>HYPERLINK("https://klasma.github.io/Logging_1486/klagomål/A 15667-2024 FSC-klagomål.docx", "A 15667-2024")</f>
        <v/>
      </c>
      <c r="AB27">
        <f>HYPERLINK("https://klasma.github.io/Logging_1486/klagomålsmail/A 15667-2024 FSC-klagomål mail.docx", "A 15667-2024")</f>
        <v/>
      </c>
      <c r="AC27">
        <f>HYPERLINK("https://klasma.github.io/Logging_1486/tillsyn/A 15667-2024 tillsynsbegäran.docx", "A 15667-2024")</f>
        <v/>
      </c>
      <c r="AD27">
        <f>HYPERLINK("https://klasma.github.io/Logging_1486/tillsynsmail/A 15667-2024 tillsynsbegäran mail.docx", "A 15667-2024")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46308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53485-2023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45230</v>
      </c>
      <c r="E29" s="1" t="n">
        <v>46308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HYPERLINK("https://klasma.github.io/Logging_1486/artfynd/A 53485-2023 artfynd.xlsx", "A 53485-2023")</f>
        <v/>
      </c>
      <c r="X29">
        <f>HYPERLINK("https://klasma.github.io/Logging_1486/kartor/A 53485-2023 karta.png", "A 53485-2023")</f>
        <v/>
      </c>
      <c r="Y29">
        <f>HYPERLINK("https://klasma.github.io/Logging_1486/kartor_geotiff/A 53485-2023 georefererad karta.tif", "A 53485-2023")</f>
        <v/>
      </c>
      <c r="AA29">
        <f>HYPERLINK("https://klasma.github.io/Logging_1486/klagomål/A 53485-2023 FSC-klagomål.docx", "A 53485-2023")</f>
        <v/>
      </c>
      <c r="AB29">
        <f>HYPERLINK("https://klasma.github.io/Logging_1486/klagomålsmail/A 53485-2023 FSC-klagomål mail.docx", "A 53485-2023")</f>
        <v/>
      </c>
      <c r="AC29">
        <f>HYPERLINK("https://klasma.github.io/Logging_1486/tillsyn/A 53485-2023 tillsynsbegäran.docx", "A 53485-2023")</f>
        <v/>
      </c>
      <c r="AD29">
        <f>HYPERLINK("https://klasma.github.io/Logging_1486/tillsynsmail/A 53485-2023 tillsynsbegäran mail.docx", "A 53485-2023")</f>
        <v/>
      </c>
      <c r="AE29">
        <f>HYPERLINK("https://klasma.github.io/Logging_1486/fåglar/A 53485-2023 prioriterade fågelarter.docx", "A 53485-2023")</f>
        <v/>
      </c>
    </row>
    <row r="30" ht="15" customHeight="1">
      <c r="A30" t="inlineStr">
        <is>
          <t>A 10764-2024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46308</v>
      </c>
      <c r="F30" t="inlineStr">
        <is>
          <t>VÄSTRA GÖTALANDS LÄN</t>
        </is>
      </c>
      <c r="G30" t="inlineStr">
        <is>
          <t>STRÖMSTAD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HYPERLINK("https://klasma.github.io/Logging_1486/artfynd/A 10764-2024 artfynd.xlsx", "A 10764-2024")</f>
        <v/>
      </c>
      <c r="X30">
        <f>HYPERLINK("https://klasma.github.io/Logging_1486/kartor/A 10764-2024 karta.png", "A 10764-2024")</f>
        <v/>
      </c>
      <c r="Y30">
        <f>HYPERLINK("https://klasma.github.io/Logging_1486/kartor_geotiff/A 10764-2024 georefererad karta.tif", "A 10764-2024")</f>
        <v/>
      </c>
      <c r="AA30">
        <f>HYPERLINK("https://klasma.github.io/Logging_1486/klagomål/A 10764-2024 FSC-klagomål.docx", "A 10764-2024")</f>
        <v/>
      </c>
      <c r="AB30">
        <f>HYPERLINK("https://klasma.github.io/Logging_1486/klagomålsmail/A 10764-2024 FSC-klagomål mail.docx", "A 10764-2024")</f>
        <v/>
      </c>
      <c r="AC30">
        <f>HYPERLINK("https://klasma.github.io/Logging_1486/tillsyn/A 10764-2024 tillsynsbegäran.docx", "A 10764-2024")</f>
        <v/>
      </c>
      <c r="AD30">
        <f>HYPERLINK("https://klasma.github.io/Logging_1486/tillsynsmail/A 10764-2024 tillsynsbegäran mail.docx", "A 10764-2024")</f>
        <v/>
      </c>
    </row>
    <row r="31" ht="15" customHeight="1">
      <c r="A31" t="inlineStr">
        <is>
          <t>A 24514-2024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45458</v>
      </c>
      <c r="E31" s="1" t="n">
        <v>46308</v>
      </c>
      <c r="F31" t="inlineStr">
        <is>
          <t>VÄSTRA GÖTALANDS LÄN</t>
        </is>
      </c>
      <c r="G31" t="inlineStr">
        <is>
          <t>STRÖMSTAD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HYPERLINK("https://klasma.github.io/Logging_1486/artfynd/A 24514-2024 artfynd.xlsx", "A 24514-2024")</f>
        <v/>
      </c>
      <c r="X31">
        <f>HYPERLINK("https://klasma.github.io/Logging_1486/kartor/A 24514-2024 karta.png", "A 24514-2024")</f>
        <v/>
      </c>
      <c r="Y31">
        <f>HYPERLINK("https://klasma.github.io/Logging_1486/kartor_geotiff/A 24514-2024 georefererad karta.tif", "A 24514-2024")</f>
        <v/>
      </c>
      <c r="AA31">
        <f>HYPERLINK("https://klasma.github.io/Logging_1486/klagomål/A 24514-2024 FSC-klagomål.docx", "A 24514-2024")</f>
        <v/>
      </c>
      <c r="AB31">
        <f>HYPERLINK("https://klasma.github.io/Logging_1486/klagomålsmail/A 24514-2024 FSC-klagomål mail.docx", "A 24514-2024")</f>
        <v/>
      </c>
      <c r="AC31">
        <f>HYPERLINK("https://klasma.github.io/Logging_1486/tillsyn/A 24514-2024 tillsynsbegäran.docx", "A 24514-2024")</f>
        <v/>
      </c>
      <c r="AD31">
        <f>HYPERLINK("https://klasma.github.io/Logging_1486/tillsynsmail/A 24514-2024 tillsynsbegäran mail.docx", "A 24514-2024")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46308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46308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46308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46308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46308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46308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46308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46308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46308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46308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46308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46308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46308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46308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46308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46308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46308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46308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46308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46308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46308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46308</v>
      </c>
      <c r="F53" t="inlineStr">
        <is>
          <t>VÄSTRA GÖTALANDS LÄN</t>
        </is>
      </c>
      <c r="G53" t="inlineStr">
        <is>
          <t>STRÖMSTAD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45547</v>
      </c>
      <c r="E54" s="1" t="n">
        <v>46308</v>
      </c>
      <c r="F54" t="inlineStr">
        <is>
          <t>VÄSTRA GÖTALANDS LÄN</t>
        </is>
      </c>
      <c r="G54" t="inlineStr">
        <is>
          <t>STRÖMSTAD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46308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45632-2024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45579</v>
      </c>
      <c r="E56" s="1" t="n">
        <v>46308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Kyrkan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46308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44603</v>
      </c>
      <c r="E58" s="1" t="n">
        <v>46308</v>
      </c>
      <c r="F58" t="inlineStr">
        <is>
          <t>VÄSTRA GÖTALANDS LÄN</t>
        </is>
      </c>
      <c r="G58" t="inlineStr">
        <is>
          <t>STRÖMSTAD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46308</v>
      </c>
      <c r="F59" t="inlineStr">
        <is>
          <t>VÄSTRA GÖTALANDS LÄN</t>
        </is>
      </c>
      <c r="G59" t="inlineStr">
        <is>
          <t>STRÖMSTAD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46308</v>
      </c>
      <c r="F60" t="inlineStr">
        <is>
          <t>VÄSTRA GÖTALANDS LÄN</t>
        </is>
      </c>
      <c r="G60" t="inlineStr">
        <is>
          <t>STRÖMSTAD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46308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45301</v>
      </c>
      <c r="E62" s="1" t="n">
        <v>46308</v>
      </c>
      <c r="F62" t="inlineStr">
        <is>
          <t>VÄSTRA GÖTALANDS LÄN</t>
        </is>
      </c>
      <c r="G62" t="inlineStr">
        <is>
          <t>STRÖMSTAD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46308</v>
      </c>
      <c r="F63" t="inlineStr">
        <is>
          <t>VÄSTRA GÖTALANDS LÄN</t>
        </is>
      </c>
      <c r="G63" t="inlineStr">
        <is>
          <t>STRÖMSTAD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13325-2022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46308</v>
      </c>
      <c r="F64" t="inlineStr">
        <is>
          <t>VÄSTRA GÖTALANDS LÄN</t>
        </is>
      </c>
      <c r="G64" t="inlineStr">
        <is>
          <t>STRÖMSTAD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46308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26409-2026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46308</v>
      </c>
      <c r="F66" t="inlineStr">
        <is>
          <t>VÄSTRA GÖTALANDS LÄN</t>
        </is>
      </c>
      <c r="G66" t="inlineStr">
        <is>
          <t>STRÖMSTAD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12945-2024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45385</v>
      </c>
      <c r="E67" s="1" t="n">
        <v>46308</v>
      </c>
      <c r="F67" t="inlineStr">
        <is>
          <t>VÄSTRA GÖTALANDS LÄN</t>
        </is>
      </c>
      <c r="G67" t="inlineStr">
        <is>
          <t>STRÖMSTAD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46308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Övriga Aktiebolag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45945</v>
      </c>
      <c r="E69" s="1" t="n">
        <v>46308</v>
      </c>
      <c r="F69" t="inlineStr">
        <is>
          <t>VÄSTRA GÖTALANDS LÄN</t>
        </is>
      </c>
      <c r="G69" t="inlineStr">
        <is>
          <t>STRÖMSTAD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45946</v>
      </c>
      <c r="E70" s="1" t="n">
        <v>46308</v>
      </c>
      <c r="F70" t="inlineStr">
        <is>
          <t>VÄSTRA GÖTALANDS LÄN</t>
        </is>
      </c>
      <c r="G70" t="inlineStr">
        <is>
          <t>STRÖMSTAD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46308</v>
      </c>
      <c r="F71" t="inlineStr">
        <is>
          <t>VÄSTRA GÖTALANDS LÄN</t>
        </is>
      </c>
      <c r="G71" t="inlineStr">
        <is>
          <t>STRÖMSTAD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56130-2022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44886</v>
      </c>
      <c r="E72" s="1" t="n">
        <v>46308</v>
      </c>
      <c r="F72" t="inlineStr">
        <is>
          <t>VÄSTRA GÖTALANDS LÄN</t>
        </is>
      </c>
      <c r="G72" t="inlineStr">
        <is>
          <t>STRÖMSTAD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46196</v>
      </c>
      <c r="E73" s="1" t="n">
        <v>46308</v>
      </c>
      <c r="F73" t="inlineStr">
        <is>
          <t>VÄSTRA GÖTALANDS LÄN</t>
        </is>
      </c>
      <c r="G73" t="inlineStr">
        <is>
          <t>STRÖMSTAD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21061-2022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44704</v>
      </c>
      <c r="E74" s="1" t="n">
        <v>46308</v>
      </c>
      <c r="F74" t="inlineStr">
        <is>
          <t>VÄSTRA GÖTALANDS LÄN</t>
        </is>
      </c>
      <c r="G74" t="inlineStr">
        <is>
          <t>STRÖMSTAD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54374-2022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46308</v>
      </c>
      <c r="F75" t="inlineStr">
        <is>
          <t>VÄSTRA GÖTALANDS LÄN</t>
        </is>
      </c>
      <c r="G75" t="inlineStr">
        <is>
          <t>STRÖMSTAD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22693-2026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46156</v>
      </c>
      <c r="E76" s="1" t="n">
        <v>46308</v>
      </c>
      <c r="F76" t="inlineStr">
        <is>
          <t>VÄSTRA GÖTALANDS LÄN</t>
        </is>
      </c>
      <c r="G76" t="inlineStr">
        <is>
          <t>STRÖMSTAD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46308</v>
      </c>
      <c r="F77" t="inlineStr">
        <is>
          <t>VÄSTRA GÖTALANDS LÄN</t>
        </is>
      </c>
      <c r="G77" t="inlineStr">
        <is>
          <t>STRÖMSTAD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54126-2025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46308</v>
      </c>
      <c r="F78" t="inlineStr">
        <is>
          <t>VÄSTRA GÖTALANDS LÄN</t>
        </is>
      </c>
      <c r="G78" t="inlineStr">
        <is>
          <t>STRÖMSTAD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46308</v>
      </c>
      <c r="F79" t="inlineStr">
        <is>
          <t>VÄSTRA GÖTALANDS LÄN</t>
        </is>
      </c>
      <c r="G79" t="inlineStr">
        <is>
          <t>STRÖMSTAD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46308</v>
      </c>
      <c r="F80" t="inlineStr">
        <is>
          <t>VÄSTRA GÖTALANDS LÄN</t>
        </is>
      </c>
      <c r="G80" t="inlineStr">
        <is>
          <t>STRÖMSTAD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46308</v>
      </c>
      <c r="F81" t="inlineStr">
        <is>
          <t>VÄSTRA GÖTALANDS LÄN</t>
        </is>
      </c>
      <c r="G81" t="inlineStr">
        <is>
          <t>STRÖMSTAD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45972</v>
      </c>
      <c r="E82" s="1" t="n">
        <v>46308</v>
      </c>
      <c r="F82" t="inlineStr">
        <is>
          <t>VÄSTRA GÖTALANDS LÄN</t>
        </is>
      </c>
      <c r="G82" t="inlineStr">
        <is>
          <t>STRÖMSTAD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46308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11931-2025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46308</v>
      </c>
      <c r="F84" t="inlineStr">
        <is>
          <t>VÄSTRA GÖTALANDS LÄN</t>
        </is>
      </c>
      <c r="G84" t="inlineStr">
        <is>
          <t>STRÖMSTAD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45739</v>
      </c>
      <c r="E85" s="1" t="n">
        <v>46308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46308</v>
      </c>
      <c r="F86" t="inlineStr">
        <is>
          <t>VÄSTRA GÖTALANDS LÄN</t>
        </is>
      </c>
      <c r="G86" t="inlineStr">
        <is>
          <t>STRÖMSTAD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46308</v>
      </c>
      <c r="F87" t="inlineStr">
        <is>
          <t>VÄSTRA GÖTALANDS LÄN</t>
        </is>
      </c>
      <c r="G87" t="inlineStr">
        <is>
          <t>STRÖMSTAD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45739</v>
      </c>
      <c r="E88" s="1" t="n">
        <v>46308</v>
      </c>
      <c r="F88" t="inlineStr">
        <is>
          <t>VÄSTRA GÖTALANDS LÄN</t>
        </is>
      </c>
      <c r="G88" t="inlineStr">
        <is>
          <t>STRÖMSTAD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46308</v>
      </c>
      <c r="F89" t="inlineStr">
        <is>
          <t>VÄSTRA GÖTALANDS LÄN</t>
        </is>
      </c>
      <c r="G89" t="inlineStr">
        <is>
          <t>STRÖMSTAD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46308</v>
      </c>
      <c r="F90" t="inlineStr">
        <is>
          <t>VÄSTRA GÖTALANDS LÄN</t>
        </is>
      </c>
      <c r="G90" t="inlineStr">
        <is>
          <t>STRÖMSTAD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46266</v>
      </c>
      <c r="E91" s="1" t="n">
        <v>46308</v>
      </c>
      <c r="F91" t="inlineStr">
        <is>
          <t>VÄSTRA GÖTALANDS LÄN</t>
        </is>
      </c>
      <c r="G91" t="inlineStr">
        <is>
          <t>STRÖMSTAD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44885</v>
      </c>
      <c r="E92" s="1" t="n">
        <v>46308</v>
      </c>
      <c r="F92" t="inlineStr">
        <is>
          <t>VÄSTRA GÖTALANDS LÄN</t>
        </is>
      </c>
      <c r="G92" t="inlineStr">
        <is>
          <t>STRÖMSTAD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46308</v>
      </c>
      <c r="F93" t="inlineStr">
        <is>
          <t>VÄSTRA GÖTALANDS LÄN</t>
        </is>
      </c>
      <c r="G93" t="inlineStr">
        <is>
          <t>STRÖMSTAD</t>
        </is>
      </c>
      <c r="H93" t="inlineStr">
        <is>
          <t>Kommuner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46308</v>
      </c>
      <c r="F94" t="inlineStr">
        <is>
          <t>VÄSTRA GÖTALANDS LÄN</t>
        </is>
      </c>
      <c r="G94" t="inlineStr">
        <is>
          <t>STRÖMSTAD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45018</v>
      </c>
      <c r="E95" s="1" t="n">
        <v>46308</v>
      </c>
      <c r="F95" t="inlineStr">
        <is>
          <t>VÄSTRA GÖTALANDS LÄN</t>
        </is>
      </c>
      <c r="G95" t="inlineStr">
        <is>
          <t>STRÖMSTAD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46308</v>
      </c>
      <c r="F96" t="inlineStr">
        <is>
          <t>VÄSTRA GÖTALANDS LÄN</t>
        </is>
      </c>
      <c r="G96" t="inlineStr">
        <is>
          <t>STRÖMSTAD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57663-2025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46308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46003</v>
      </c>
      <c r="E98" s="1" t="n">
        <v>46308</v>
      </c>
      <c r="F98" t="inlineStr">
        <is>
          <t>VÄSTRA GÖTALANDS LÄN</t>
        </is>
      </c>
      <c r="G98" t="inlineStr">
        <is>
          <t>STRÖMSTAD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46308</v>
      </c>
      <c r="F99" t="inlineStr">
        <is>
          <t>VÄSTRA GÖTALANDS LÄN</t>
        </is>
      </c>
      <c r="G99" t="inlineStr">
        <is>
          <t>STRÖMSTAD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46308</v>
      </c>
      <c r="F100" t="inlineStr">
        <is>
          <t>VÄSTRA GÖTALANDS LÄN</t>
        </is>
      </c>
      <c r="G100" t="inlineStr">
        <is>
          <t>STRÖMSTAD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46308</v>
      </c>
      <c r="F101" t="inlineStr">
        <is>
          <t>VÄSTRA GÖTALANDS LÄN</t>
        </is>
      </c>
      <c r="G101" t="inlineStr">
        <is>
          <t>STRÖMSTAD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1945-2026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46035</v>
      </c>
      <c r="E102" s="1" t="n">
        <v>46308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46308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46308</v>
      </c>
      <c r="F104" t="inlineStr">
        <is>
          <t>VÄSTRA GÖTALANDS LÄN</t>
        </is>
      </c>
      <c r="G104" t="inlineStr">
        <is>
          <t>STRÖMSTAD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46308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46283</v>
      </c>
      <c r="E106" s="1" t="n">
        <v>46308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Kyrkan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37058-2026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46273</v>
      </c>
      <c r="E107" s="1" t="n">
        <v>46308</v>
      </c>
      <c r="F107" t="inlineStr">
        <is>
          <t>VÄSTRA GÖTALANDS LÄN</t>
        </is>
      </c>
      <c r="G107" t="inlineStr">
        <is>
          <t>STRÖMSTAD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46308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46308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33536-2025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46308</v>
      </c>
      <c r="F110" t="inlineStr">
        <is>
          <t>VÄSTRA GÖTALANDS LÄN</t>
        </is>
      </c>
      <c r="G110" t="inlineStr">
        <is>
          <t>STRÖMSTAD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46308</v>
      </c>
      <c r="F111" t="inlineStr">
        <is>
          <t>VÄSTRA GÖTALANDS LÄN</t>
        </is>
      </c>
      <c r="G111" t="inlineStr">
        <is>
          <t>STRÖMSTAD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46308</v>
      </c>
      <c r="F112" t="inlineStr">
        <is>
          <t>VÄSTRA GÖTALANDS LÄN</t>
        </is>
      </c>
      <c r="G112" t="inlineStr">
        <is>
          <t>STRÖMSTAD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46308</v>
      </c>
      <c r="F113" t="inlineStr">
        <is>
          <t>VÄSTRA GÖTALANDS LÄN</t>
        </is>
      </c>
      <c r="G113" t="inlineStr">
        <is>
          <t>STRÖMSTAD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46308</v>
      </c>
      <c r="F114" t="inlineStr">
        <is>
          <t>VÄSTRA GÖTALANDS LÄN</t>
        </is>
      </c>
      <c r="G114" t="inlineStr">
        <is>
          <t>STRÖMSTAD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46288</v>
      </c>
      <c r="E115" s="1" t="n">
        <v>46308</v>
      </c>
      <c r="F115" t="inlineStr">
        <is>
          <t>VÄSTRA GÖTALANDS LÄN</t>
        </is>
      </c>
      <c r="G115" t="inlineStr">
        <is>
          <t>STRÖMSTAD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46308</v>
      </c>
      <c r="F116" t="inlineStr">
        <is>
          <t>VÄSTRA GÖTALANDS LÄN</t>
        </is>
      </c>
      <c r="G116" t="inlineStr">
        <is>
          <t>STRÖMSTAD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7466-2026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46308</v>
      </c>
      <c r="F117" t="inlineStr">
        <is>
          <t>VÄSTRA GÖTALANDS LÄN</t>
        </is>
      </c>
      <c r="G117" t="inlineStr">
        <is>
          <t>STRÖMSTAD</t>
        </is>
      </c>
      <c r="H117" t="inlineStr">
        <is>
          <t>Kommuner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46308</v>
      </c>
      <c r="F118" t="inlineStr">
        <is>
          <t>VÄSTRA GÖTALANDS LÄN</t>
        </is>
      </c>
      <c r="G118" t="inlineStr">
        <is>
          <t>STRÖMSTAD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46063</v>
      </c>
      <c r="E119" s="1" t="n">
        <v>46308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46063</v>
      </c>
      <c r="E120" s="1" t="n">
        <v>46308</v>
      </c>
      <c r="F120" t="inlineStr">
        <is>
          <t>VÄSTRA GÖTALANDS LÄN</t>
        </is>
      </c>
      <c r="G120" t="inlineStr">
        <is>
          <t>STRÖMSTAD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46063</v>
      </c>
      <c r="E121" s="1" t="n">
        <v>46308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45757</v>
      </c>
      <c r="E122" s="1" t="n">
        <v>46308</v>
      </c>
      <c r="F122" t="inlineStr">
        <is>
          <t>VÄSTRA GÖTALANDS LÄN</t>
        </is>
      </c>
      <c r="G122" t="inlineStr">
        <is>
          <t>STRÖMSTAD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46293</v>
      </c>
      <c r="E123" s="1" t="n">
        <v>46308</v>
      </c>
      <c r="F123" t="inlineStr">
        <is>
          <t>VÄSTRA GÖTALANDS LÄN</t>
        </is>
      </c>
      <c r="G123" t="inlineStr">
        <is>
          <t>STRÖMSTAD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46282</v>
      </c>
      <c r="E124" s="1" t="n">
        <v>46308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Kyrkan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46308</v>
      </c>
      <c r="F125" t="inlineStr">
        <is>
          <t>VÄSTRA GÖTALANDS LÄN</t>
        </is>
      </c>
      <c r="G125" t="inlineStr">
        <is>
          <t>STRÖMSTAD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46308</v>
      </c>
      <c r="F126" t="inlineStr">
        <is>
          <t>VÄSTRA GÖTALANDS LÄN</t>
        </is>
      </c>
      <c r="G126" t="inlineStr">
        <is>
          <t>STRÖMSTAD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46308</v>
      </c>
      <c r="F127" t="inlineStr">
        <is>
          <t>VÄSTRA GÖTALANDS LÄN</t>
        </is>
      </c>
      <c r="G127" t="inlineStr">
        <is>
          <t>STRÖMSTAD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46308</v>
      </c>
      <c r="F128" t="inlineStr">
        <is>
          <t>VÄSTRA GÖTALANDS LÄN</t>
        </is>
      </c>
      <c r="G128" t="inlineStr">
        <is>
          <t>STRÖMSTAD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40915-2026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46297</v>
      </c>
      <c r="E129" s="1" t="n">
        <v>46308</v>
      </c>
      <c r="F129" t="inlineStr">
        <is>
          <t>VÄSTRA GÖTALANDS LÄN</t>
        </is>
      </c>
      <c r="G129" t="inlineStr">
        <is>
          <t>STRÖMSTAD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46308</v>
      </c>
      <c r="F130" t="inlineStr">
        <is>
          <t>VÄSTRA GÖTALANDS LÄN</t>
        </is>
      </c>
      <c r="G130" t="inlineStr">
        <is>
          <t>STRÖMSTAD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46308</v>
      </c>
      <c r="F131" t="inlineStr">
        <is>
          <t>VÄSTRA GÖTALANDS LÄN</t>
        </is>
      </c>
      <c r="G131" t="inlineStr">
        <is>
          <t>STRÖMSTAD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46308</v>
      </c>
      <c r="F132" t="inlineStr">
        <is>
          <t>VÄSTRA GÖTALANDS LÄN</t>
        </is>
      </c>
      <c r="G132" t="inlineStr">
        <is>
          <t>STRÖMSTAD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46308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46308</v>
      </c>
      <c r="F134" t="inlineStr">
        <is>
          <t>VÄSTRA GÖTALANDS LÄN</t>
        </is>
      </c>
      <c r="G134" t="inlineStr">
        <is>
          <t>STRÖMSTAD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30701-2022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44763</v>
      </c>
      <c r="E135" s="1" t="n">
        <v>46308</v>
      </c>
      <c r="F135" t="inlineStr">
        <is>
          <t>VÄSTRA GÖTALANDS LÄN</t>
        </is>
      </c>
      <c r="G135" t="inlineStr">
        <is>
          <t>STRÖMSTAD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14437-2026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46308</v>
      </c>
      <c r="F136" t="inlineStr">
        <is>
          <t>VÄSTRA GÖTALANDS LÄN</t>
        </is>
      </c>
      <c r="G136" t="inlineStr">
        <is>
          <t>STRÖMSTAD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46308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46308</v>
      </c>
      <c r="F138" t="inlineStr">
        <is>
          <t>VÄSTRA GÖTALANDS LÄN</t>
        </is>
      </c>
      <c r="G138" t="inlineStr">
        <is>
          <t>STRÖMSTAD</t>
        </is>
      </c>
      <c r="I138" t="n">
        <v>14.5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46308</v>
      </c>
      <c r="F139" t="inlineStr">
        <is>
          <t>VÄSTRA GÖTALANDS LÄN</t>
        </is>
      </c>
      <c r="G139" t="inlineStr">
        <is>
          <t>STRÖMSTAD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46103</v>
      </c>
      <c r="E140" s="1" t="n">
        <v>46308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46308</v>
      </c>
      <c r="F141" t="inlineStr">
        <is>
          <t>VÄSTRA GÖTALANDS LÄN</t>
        </is>
      </c>
      <c r="G141" t="inlineStr">
        <is>
          <t>STRÖMSTAD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46308</v>
      </c>
      <c r="F142" t="inlineStr">
        <is>
          <t>VÄSTRA GÖTALANDS LÄN</t>
        </is>
      </c>
      <c r="G142" t="inlineStr">
        <is>
          <t>STRÖMSTAD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46308</v>
      </c>
      <c r="F143" t="inlineStr">
        <is>
          <t>VÄSTRA GÖTALANDS LÄN</t>
        </is>
      </c>
      <c r="G143" t="inlineStr">
        <is>
          <t>STRÖMSTAD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46308</v>
      </c>
      <c r="F144" t="inlineStr">
        <is>
          <t>VÄSTRA GÖTALANDS LÄN</t>
        </is>
      </c>
      <c r="G144" t="inlineStr">
        <is>
          <t>STRÖMSTAD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46308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46308</v>
      </c>
      <c r="F146" t="inlineStr">
        <is>
          <t>VÄSTRA GÖTALANDS LÄN</t>
        </is>
      </c>
      <c r="G146" t="inlineStr">
        <is>
          <t>STRÖMSTAD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45610</v>
      </c>
      <c r="E147" s="1" t="n">
        <v>46308</v>
      </c>
      <c r="F147" t="inlineStr">
        <is>
          <t>VÄSTRA GÖTALANDS LÄN</t>
        </is>
      </c>
      <c r="G147" t="inlineStr">
        <is>
          <t>STRÖMSTAD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45085</v>
      </c>
      <c r="E148" s="1" t="n">
        <v>46308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46308</v>
      </c>
      <c r="F149" t="inlineStr">
        <is>
          <t>VÄSTRA GÖTALANDS LÄN</t>
        </is>
      </c>
      <c r="G149" t="inlineStr">
        <is>
          <t>STRÖMSTAD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45876</v>
      </c>
      <c r="E150" s="1" t="n">
        <v>46308</v>
      </c>
      <c r="F150" t="inlineStr">
        <is>
          <t>VÄSTRA GÖTALANDS LÄN</t>
        </is>
      </c>
      <c r="G150" t="inlineStr">
        <is>
          <t>STRÖMSTAD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46308</v>
      </c>
      <c r="F151" t="inlineStr">
        <is>
          <t>VÄSTRA GÖTALANDS LÄN</t>
        </is>
      </c>
      <c r="G151" t="inlineStr">
        <is>
          <t>STRÖMSTAD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46308</v>
      </c>
      <c r="F152" t="inlineStr">
        <is>
          <t>VÄSTRA GÖTALANDS LÄN</t>
        </is>
      </c>
      <c r="G152" t="inlineStr">
        <is>
          <t>STRÖMSTAD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46308</v>
      </c>
      <c r="F153" t="inlineStr">
        <is>
          <t>VÄSTRA GÖTALANDS LÄN</t>
        </is>
      </c>
      <c r="G153" t="inlineStr">
        <is>
          <t>STRÖMSTAD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45057</v>
      </c>
      <c r="E154" s="1" t="n">
        <v>46308</v>
      </c>
      <c r="F154" t="inlineStr">
        <is>
          <t>VÄSTRA GÖTALANDS LÄN</t>
        </is>
      </c>
      <c r="G154" t="inlineStr">
        <is>
          <t>STRÖMSTAD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46308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46308</v>
      </c>
      <c r="F156" t="inlineStr">
        <is>
          <t>VÄSTRA GÖTALANDS LÄN</t>
        </is>
      </c>
      <c r="G156" t="inlineStr">
        <is>
          <t>STRÖMSTAD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46308</v>
      </c>
      <c r="F157" t="inlineStr">
        <is>
          <t>VÄSTRA GÖTALANDS LÄN</t>
        </is>
      </c>
      <c r="G157" t="inlineStr">
        <is>
          <t>STRÖMSTAD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46308</v>
      </c>
      <c r="F158" t="inlineStr">
        <is>
          <t>VÄSTRA GÖTALANDS LÄN</t>
        </is>
      </c>
      <c r="G158" t="inlineStr">
        <is>
          <t>STRÖMSTAD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46308</v>
      </c>
      <c r="F159" t="inlineStr">
        <is>
          <t>VÄSTRA GÖTALANDS LÄN</t>
        </is>
      </c>
      <c r="G159" t="inlineStr">
        <is>
          <t>STRÖMSTAD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46308</v>
      </c>
      <c r="F160" t="inlineStr">
        <is>
          <t>VÄSTRA GÖTALANDS LÄN</t>
        </is>
      </c>
      <c r="G160" t="inlineStr">
        <is>
          <t>STRÖMSTAD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46308</v>
      </c>
      <c r="F161" t="inlineStr">
        <is>
          <t>VÄSTRA GÖTALANDS LÄN</t>
        </is>
      </c>
      <c r="G161" t="inlineStr">
        <is>
          <t>STRÖMSTAD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46308</v>
      </c>
      <c r="F162" t="inlineStr">
        <is>
          <t>VÄSTRA GÖTALANDS LÄN</t>
        </is>
      </c>
      <c r="G162" t="inlineStr">
        <is>
          <t>STRÖMSTAD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46308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46308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46308</v>
      </c>
      <c r="F165" t="inlineStr">
        <is>
          <t>VÄSTRA GÖTALANDS LÄN</t>
        </is>
      </c>
      <c r="G165" t="inlineStr">
        <is>
          <t>STRÖMSTAD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45316</v>
      </c>
      <c r="E166" s="1" t="n">
        <v>46308</v>
      </c>
      <c r="F166" t="inlineStr">
        <is>
          <t>VÄSTRA GÖTALANDS LÄN</t>
        </is>
      </c>
      <c r="G166" t="inlineStr">
        <is>
          <t>STRÖMSTAD</t>
        </is>
      </c>
      <c r="H166" t="inlineStr">
        <is>
          <t>Kommuner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44848</v>
      </c>
      <c r="E167" s="1" t="n">
        <v>46308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46308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46308</v>
      </c>
      <c r="F169" t="inlineStr">
        <is>
          <t>VÄSTRA GÖTALANDS LÄN</t>
        </is>
      </c>
      <c r="G169" t="inlineStr">
        <is>
          <t>STRÖMSTAD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46308</v>
      </c>
      <c r="F170" t="inlineStr">
        <is>
          <t>VÄSTRA GÖTALANDS LÄN</t>
        </is>
      </c>
      <c r="G170" t="inlineStr">
        <is>
          <t>STRÖMSTAD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45331</v>
      </c>
      <c r="E171" s="1" t="n">
        <v>46308</v>
      </c>
      <c r="F171" t="inlineStr">
        <is>
          <t>VÄSTRA GÖTALANDS LÄN</t>
        </is>
      </c>
      <c r="G171" t="inlineStr">
        <is>
          <t>STRÖMSTAD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46308</v>
      </c>
      <c r="F172" t="inlineStr">
        <is>
          <t>VÄSTRA GÖTALANDS LÄN</t>
        </is>
      </c>
      <c r="G172" t="inlineStr">
        <is>
          <t>STRÖMSTAD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44907</v>
      </c>
      <c r="E173" s="1" t="n">
        <v>46308</v>
      </c>
      <c r="F173" t="inlineStr">
        <is>
          <t>VÄSTRA GÖTALANDS LÄN</t>
        </is>
      </c>
      <c r="G173" t="inlineStr">
        <is>
          <t>STRÖMSTAD</t>
        </is>
      </c>
      <c r="I173" t="n">
        <v>10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44701</v>
      </c>
      <c r="E174" s="1" t="n">
        <v>46308</v>
      </c>
      <c r="F174" t="inlineStr">
        <is>
          <t>VÄSTRA GÖTALANDS LÄN</t>
        </is>
      </c>
      <c r="G174" t="inlineStr">
        <is>
          <t>STRÖMSTAD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45579</v>
      </c>
      <c r="E175" s="1" t="n">
        <v>46308</v>
      </c>
      <c r="F175" t="inlineStr">
        <is>
          <t>VÄSTRA GÖTALANDS LÄN</t>
        </is>
      </c>
      <c r="G175" t="inlineStr">
        <is>
          <t>STRÖMSTAD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9983-2022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44621</v>
      </c>
      <c r="E176" s="1" t="n">
        <v>46308</v>
      </c>
      <c r="F176" t="inlineStr">
        <is>
          <t>VÄSTRA GÖTALANDS LÄN</t>
        </is>
      </c>
      <c r="G176" t="inlineStr">
        <is>
          <t>STRÖMSTAD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45126</v>
      </c>
      <c r="E177" s="1" t="n">
        <v>46308</v>
      </c>
      <c r="F177" t="inlineStr">
        <is>
          <t>VÄSTRA GÖTALANDS LÄN</t>
        </is>
      </c>
      <c r="G177" t="inlineStr">
        <is>
          <t>STRÖMSTAD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44774</v>
      </c>
      <c r="E178" s="1" t="n">
        <v>46308</v>
      </c>
      <c r="F178" t="inlineStr">
        <is>
          <t>VÄSTRA GÖTALANDS LÄN</t>
        </is>
      </c>
      <c r="G178" t="inlineStr">
        <is>
          <t>STRÖMSTAD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46308</v>
      </c>
      <c r="F179" t="inlineStr">
        <is>
          <t>VÄSTRA GÖTALANDS LÄN</t>
        </is>
      </c>
      <c r="G179" t="inlineStr">
        <is>
          <t>STRÖMSTAD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45301</v>
      </c>
      <c r="E180" s="1" t="n">
        <v>46308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44987</v>
      </c>
      <c r="E181" s="1" t="n">
        <v>46308</v>
      </c>
      <c r="F181" t="inlineStr">
        <is>
          <t>VÄSTRA GÖTALANDS LÄN</t>
        </is>
      </c>
      <c r="G181" t="inlineStr">
        <is>
          <t>STRÖMSTAD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46308</v>
      </c>
      <c r="F182" t="inlineStr">
        <is>
          <t>VÄSTRA GÖTALANDS LÄN</t>
        </is>
      </c>
      <c r="G182" t="inlineStr">
        <is>
          <t>STRÖMSTAD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44892</v>
      </c>
      <c r="E183" s="1" t="n">
        <v>46308</v>
      </c>
      <c r="F183" t="inlineStr">
        <is>
          <t>VÄSTRA GÖTALANDS LÄN</t>
        </is>
      </c>
      <c r="G183" t="inlineStr">
        <is>
          <t>STRÖMSTAD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45407</v>
      </c>
      <c r="E184" s="1" t="n">
        <v>46308</v>
      </c>
      <c r="F184" t="inlineStr">
        <is>
          <t>VÄSTRA GÖTALANDS LÄN</t>
        </is>
      </c>
      <c r="G184" t="inlineStr">
        <is>
          <t>STRÖMSTAD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46308</v>
      </c>
      <c r="F185" t="inlineStr">
        <is>
          <t>VÄSTRA GÖTALANDS LÄN</t>
        </is>
      </c>
      <c r="G185" t="inlineStr">
        <is>
          <t>STRÖMSTAD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72625-2021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44546</v>
      </c>
      <c r="E186" s="1" t="n">
        <v>46308</v>
      </c>
      <c r="F186" t="inlineStr">
        <is>
          <t>VÄSTRA GÖTALANDS LÄN</t>
        </is>
      </c>
      <c r="G186" t="inlineStr">
        <is>
          <t>STRÖMSTAD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19134-2025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45764</v>
      </c>
      <c r="E187" s="1" t="n">
        <v>46308</v>
      </c>
      <c r="F187" t="inlineStr">
        <is>
          <t>VÄSTRA GÖTALANDS LÄN</t>
        </is>
      </c>
      <c r="G187" t="inlineStr">
        <is>
          <t>STRÖMSTAD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45126</v>
      </c>
      <c r="E188" s="1" t="n">
        <v>46308</v>
      </c>
      <c r="F188" t="inlineStr">
        <is>
          <t>VÄSTRA GÖTALANDS LÄN</t>
        </is>
      </c>
      <c r="G188" t="inlineStr">
        <is>
          <t>STRÖMSTAD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46308</v>
      </c>
      <c r="F189" t="inlineStr">
        <is>
          <t>VÄSTRA GÖTALANDS LÄN</t>
        </is>
      </c>
      <c r="G189" t="inlineStr">
        <is>
          <t>STRÖMSTAD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46308</v>
      </c>
      <c r="F190" t="inlineStr">
        <is>
          <t>VÄSTRA GÖTALANDS LÄN</t>
        </is>
      </c>
      <c r="G190" t="inlineStr">
        <is>
          <t>STRÖMSTAD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46308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46308</v>
      </c>
      <c r="F192" t="inlineStr">
        <is>
          <t>VÄSTRA GÖTALANDS LÄN</t>
        </is>
      </c>
      <c r="G192" t="inlineStr">
        <is>
          <t>STRÖMSTAD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46308</v>
      </c>
      <c r="F193" t="inlineStr">
        <is>
          <t>VÄSTRA GÖTALANDS LÄN</t>
        </is>
      </c>
      <c r="G193" t="inlineStr">
        <is>
          <t>STRÖMSTAD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45133</v>
      </c>
      <c r="E194" s="1" t="n">
        <v>46308</v>
      </c>
      <c r="F194" t="inlineStr">
        <is>
          <t>VÄSTRA GÖTALANDS LÄN</t>
        </is>
      </c>
      <c r="G194" t="inlineStr">
        <is>
          <t>STRÖMSTAD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46308</v>
      </c>
      <c r="F195" t="inlineStr">
        <is>
          <t>VÄSTRA GÖTALANDS LÄN</t>
        </is>
      </c>
      <c r="G195" t="inlineStr">
        <is>
          <t>STRÖMSTAD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8047-2024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45351</v>
      </c>
      <c r="E196" s="1" t="n">
        <v>46308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46308</v>
      </c>
      <c r="F197" t="inlineStr">
        <is>
          <t>VÄSTRA GÖTALANDS LÄN</t>
        </is>
      </c>
      <c r="G197" t="inlineStr">
        <is>
          <t>STRÖMSTAD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46308</v>
      </c>
      <c r="F198" t="inlineStr">
        <is>
          <t>VÄSTRA GÖTALANDS LÄN</t>
        </is>
      </c>
      <c r="G198" t="inlineStr">
        <is>
          <t>STRÖMSTAD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45482</v>
      </c>
      <c r="E199" s="1" t="n">
        <v>46308</v>
      </c>
      <c r="F199" t="inlineStr">
        <is>
          <t>VÄSTRA GÖTALANDS LÄN</t>
        </is>
      </c>
      <c r="G199" t="inlineStr">
        <is>
          <t>STRÖMSTAD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67875-2021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46308</v>
      </c>
      <c r="F200" t="inlineStr">
        <is>
          <t>VÄSTRA GÖTALANDS LÄN</t>
        </is>
      </c>
      <c r="G200" t="inlineStr">
        <is>
          <t>STRÖMSTAD</t>
        </is>
      </c>
      <c r="I200" t="n">
        <v>15.5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46308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45483</v>
      </c>
      <c r="E202" s="1" t="n">
        <v>46308</v>
      </c>
      <c r="F202" t="inlineStr">
        <is>
          <t>VÄSTRA GÖTALANDS LÄN</t>
        </is>
      </c>
      <c r="G202" t="inlineStr">
        <is>
          <t>STRÖMSTAD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46308</v>
      </c>
      <c r="F203" t="inlineStr">
        <is>
          <t>VÄSTRA GÖTALANDS LÄN</t>
        </is>
      </c>
      <c r="G203" t="inlineStr">
        <is>
          <t>STRÖMSTAD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46308</v>
      </c>
      <c r="F204" t="inlineStr">
        <is>
          <t>VÄSTRA GÖTALANDS LÄN</t>
        </is>
      </c>
      <c r="G204" t="inlineStr">
        <is>
          <t>STRÖMSTAD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45318</v>
      </c>
      <c r="E205" s="1" t="n">
        <v>46308</v>
      </c>
      <c r="F205" t="inlineStr">
        <is>
          <t>VÄSTRA GÖTALANDS LÄN</t>
        </is>
      </c>
      <c r="G205" t="inlineStr">
        <is>
          <t>STRÖMSTAD</t>
        </is>
      </c>
      <c r="H205" t="inlineStr">
        <is>
          <t>Kommuner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45061</v>
      </c>
      <c r="E206" s="1" t="n">
        <v>46308</v>
      </c>
      <c r="F206" t="inlineStr">
        <is>
          <t>VÄSTRA GÖTALANDS LÄN</t>
        </is>
      </c>
      <c r="G206" t="inlineStr">
        <is>
          <t>STRÖMSTAD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46308</v>
      </c>
      <c r="F207" t="inlineStr">
        <is>
          <t>VÄSTRA GÖTALANDS LÄN</t>
        </is>
      </c>
      <c r="G207" t="inlineStr">
        <is>
          <t>STRÖMSTAD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46308</v>
      </c>
      <c r="F208" t="inlineStr">
        <is>
          <t>VÄSTRA GÖTALANDS LÄN</t>
        </is>
      </c>
      <c r="G208" t="inlineStr">
        <is>
          <t>STRÖMSTAD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45578</v>
      </c>
      <c r="E209" s="1" t="n">
        <v>46308</v>
      </c>
      <c r="F209" t="inlineStr">
        <is>
          <t>VÄSTRA GÖTALANDS LÄN</t>
        </is>
      </c>
      <c r="G209" t="inlineStr">
        <is>
          <t>STRÖMSTAD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46308</v>
      </c>
      <c r="F210" t="inlineStr">
        <is>
          <t>VÄSTRA GÖTALANDS LÄN</t>
        </is>
      </c>
      <c r="G210" t="inlineStr">
        <is>
          <t>STRÖMSTAD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3201-2023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45194</v>
      </c>
      <c r="E211" s="1" t="n">
        <v>46308</v>
      </c>
      <c r="F211" t="inlineStr">
        <is>
          <t>VÄSTRA GÖTALANDS LÄN</t>
        </is>
      </c>
      <c r="G211" t="inlineStr">
        <is>
          <t>STRÖMSTAD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4468-2022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44788</v>
      </c>
      <c r="E212" s="1" t="n">
        <v>46308</v>
      </c>
      <c r="F212" t="inlineStr">
        <is>
          <t>VÄSTRA GÖTALANDS LÄN</t>
        </is>
      </c>
      <c r="G212" t="inlineStr">
        <is>
          <t>STRÖMSTAD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85-2026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46036</v>
      </c>
      <c r="E213" s="1" t="n">
        <v>46308</v>
      </c>
      <c r="F213" t="inlineStr">
        <is>
          <t>VÄSTRA GÖTALANDS LÄN</t>
        </is>
      </c>
      <c r="G213" t="inlineStr">
        <is>
          <t>STRÖMSTAD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2026-10-13T02:03:45Z</dcterms:created>
  <dcterms:modified xmlns:dcterms="http://purl.org/dc/terms/" xmlns:xsi="http://www.w3.org/2001/XMLSchema-instance" xsi:type="dcterms:W3CDTF">2026-10-13T02:03:46Z</dcterms:modified>
</cp:coreProperties>
</file>