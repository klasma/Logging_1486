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45568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32279-2024</t>
        </is>
      </c>
      <c r="B3" s="1" t="n">
        <v>45512</v>
      </c>
      <c r="C3" s="1" t="n">
        <v>45568</v>
      </c>
      <c r="D3" t="inlineStr">
        <is>
          <t>VÄSTRA GÖTALANDS LÄN</t>
        </is>
      </c>
      <c r="E3" t="inlineStr">
        <is>
          <t>STRÖMSTAD</t>
        </is>
      </c>
      <c r="G3" t="n">
        <v>2.1</v>
      </c>
      <c r="H3" t="n">
        <v>0</v>
      </c>
      <c r="I3" t="n">
        <v>11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3">
        <f>HYPERLINK("https://klasma.github.io/Logging_1486/artfynd/A 32279-2024 artfynd.xlsx", "A 32279-2024")</f>
        <v/>
      </c>
      <c r="T3">
        <f>HYPERLINK("https://klasma.github.io/Logging_1486/kartor/A 32279-2024 karta.png", "A 32279-2024")</f>
        <v/>
      </c>
      <c r="V3">
        <f>HYPERLINK("https://klasma.github.io/Logging_1486/klagomål/A 32279-2024 FSC-klagomål.docx", "A 32279-2024")</f>
        <v/>
      </c>
      <c r="W3">
        <f>HYPERLINK("https://klasma.github.io/Logging_1486/klagomålsmail/A 32279-2024 FSC-klagomål mail.docx", "A 32279-2024")</f>
        <v/>
      </c>
      <c r="X3">
        <f>HYPERLINK("https://klasma.github.io/Logging_1486/tillsyn/A 32279-2024 tillsynsbegäran.docx", "A 32279-2024")</f>
        <v/>
      </c>
      <c r="Y3">
        <f>HYPERLINK("https://klasma.github.io/Logging_1486/tillsynsmail/A 32279-2024 tillsynsbegäran mail.docx", "A 32279-2024")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45568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45568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34077-2023</t>
        </is>
      </c>
      <c r="B6" s="1" t="n">
        <v>45135</v>
      </c>
      <c r="C6" s="1" t="n">
        <v>45568</v>
      </c>
      <c r="D6" t="inlineStr">
        <is>
          <t>VÄSTRA GÖTALANDS LÄN</t>
        </is>
      </c>
      <c r="E6" t="inlineStr">
        <is>
          <t>STRÖMSTAD</t>
        </is>
      </c>
      <c r="G6" t="n">
        <v>25.3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Skogsalm
Desmeknopp
Månlåsbräken
Slåtterfibbla
Vårstarr
Svart trolldruva
Blåsippa
Gullviva</t>
        </is>
      </c>
      <c r="S6">
        <f>HYPERLINK("https://klasma.github.io/Logging_1486/artfynd/A 34077-2023 artfynd.xlsx", "A 34077-2023")</f>
        <v/>
      </c>
      <c r="T6">
        <f>HYPERLINK("https://klasma.github.io/Logging_1486/kartor/A 34077-2023 karta.png", "A 34077-2023")</f>
        <v/>
      </c>
      <c r="V6">
        <f>HYPERLINK("https://klasma.github.io/Logging_1486/klagomål/A 34077-2023 FSC-klagomål.docx", "A 34077-2023")</f>
        <v/>
      </c>
      <c r="W6">
        <f>HYPERLINK("https://klasma.github.io/Logging_1486/klagomålsmail/A 34077-2023 FSC-klagomål mail.docx", "A 34077-2023")</f>
        <v/>
      </c>
      <c r="X6">
        <f>HYPERLINK("https://klasma.github.io/Logging_1486/tillsyn/A 34077-2023 tillsynsbegäran.docx", "A 34077-2023")</f>
        <v/>
      </c>
      <c r="Y6">
        <f>HYPERLINK("https://klasma.github.io/Logging_1486/tillsynsmail/A 34077-2023 tillsynsbegäran mail.docx", "A 34077-2023")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45568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45568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45568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45568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45568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45568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45568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45568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45568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45568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45568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45568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45568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45568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45568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45568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45568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45568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45568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45568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45568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45568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45568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45568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45568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45568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45568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45568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45568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45568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45568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45568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45568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45568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45568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45568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45568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45568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45568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45568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45568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45568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45568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45568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45568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45568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45568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45568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45568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45568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45568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45568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45568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45568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45568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45568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45568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45568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45568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45568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45568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45568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45568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45568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45568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45568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45568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45568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45568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45568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45568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45568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45568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45568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45568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45568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45568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45568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45568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45568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45568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45568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45568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45568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45568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45568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45568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45568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45568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45568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45568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45568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45568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45568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45568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45568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45568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45568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45568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45568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45568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45568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45568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45568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45568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45568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45568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45568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45568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45568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45568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45568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45568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45568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45568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45568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45568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45568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45568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45568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45568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45568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45568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45568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45568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45568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45568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45568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45568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45568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45568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45568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45568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45568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45568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45568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45568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45568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45568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45568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45568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45568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45568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45568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45568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45568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45568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45568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45568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45568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45568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45568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45568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45568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45568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45568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45568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45568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45568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45568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45568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45568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45568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45568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45568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45568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45568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45568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45568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45568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45568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45568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45568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45568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45568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45568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45568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45568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45568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45568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45568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45568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45568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45568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45568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45568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45568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45568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45568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45568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45568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45568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45568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45568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45568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45568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45568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45568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45568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45568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45568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45568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45568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45568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45568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45568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45568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45568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45568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45568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45568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45568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45568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45568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45568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45568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45568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45568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45568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45568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45568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45568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45568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45568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45568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45568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45568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45568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45568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45568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45568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45568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45568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45568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45568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45568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45568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45568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45568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45568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45568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45568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45568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45568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45568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45568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45568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45568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45568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45568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45568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45568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45568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45568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45568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45568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45568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45568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45568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45568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45568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45568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45568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45568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45568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45568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45568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45568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45568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45568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45568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45568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45568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38983-2024</t>
        </is>
      </c>
      <c r="B280" s="1" t="n">
        <v>45548</v>
      </c>
      <c r="C280" s="1" t="n">
        <v>45568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45568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45568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45568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45568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45568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40666-2024</t>
        </is>
      </c>
      <c r="B286" s="1" t="n">
        <v>45557</v>
      </c>
      <c r="C286" s="1" t="n">
        <v>45568</v>
      </c>
      <c r="D286" t="inlineStr">
        <is>
          <t>VÄSTRA GÖTALANDS LÄN</t>
        </is>
      </c>
      <c r="E286" t="inlineStr">
        <is>
          <t>STRÖMSTAD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40667-2024</t>
        </is>
      </c>
      <c r="B287" s="1" t="n">
        <v>45557</v>
      </c>
      <c r="C287" s="1" t="n">
        <v>45568</v>
      </c>
      <c r="D287" t="inlineStr">
        <is>
          <t>VÄSTRA GÖTALANDS LÄN</t>
        </is>
      </c>
      <c r="E287" t="inlineStr">
        <is>
          <t>STRÖMSTAD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45568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45568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42239-2024</t>
        </is>
      </c>
      <c r="B290" s="1" t="n">
        <v>45562</v>
      </c>
      <c r="C290" s="1" t="n">
        <v>45568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2024-10-03T12:34:59Z</dcterms:created>
  <dcterms:modified xmlns:dcterms="http://purl.org/dc/terms/" xmlns:xsi="http://www.w3.org/2001/XMLSchema-instance" xsi:type="dcterms:W3CDTF">2024-10-03T12:34:59Z</dcterms:modified>
</cp:coreProperties>
</file>