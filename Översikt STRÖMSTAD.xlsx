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46273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46273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46273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46273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46273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46273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46273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46273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46273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46273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46273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46273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46273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46273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46273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46273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46273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46273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46273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6128-2026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46054</v>
      </c>
      <c r="E24" s="1" t="n">
        <v>46273</v>
      </c>
      <c r="F24" t="inlineStr">
        <is>
          <t>VÄSTRA GÖTALANDS LÄN</t>
        </is>
      </c>
      <c r="G24" t="inlineStr">
        <is>
          <t>STRÖMSTAD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6128-2026 artfynd.xlsx", "A 6128-2026")</f>
        <v/>
      </c>
      <c r="X24">
        <f>HYPERLINK("https://klasma.github.io/Logging_1486/kartor/A 6128-2026 karta.png", "A 6128-2026")</f>
        <v/>
      </c>
      <c r="Y24">
        <f>HYPERLINK("https://klasma.github.io/Logging_1486/kartor_geotiff/A 6128-2026 georefererad karta.tif", "A 6128-2026")</f>
        <v/>
      </c>
      <c r="AA24">
        <f>HYPERLINK("https://klasma.github.io/Logging_1486/klagomål/A 6128-2026 FSC-klagomål.docx", "A 6128-2026")</f>
        <v/>
      </c>
      <c r="AB24">
        <f>HYPERLINK("https://klasma.github.io/Logging_1486/klagomålsmail/A 6128-2026 FSC-klagomål mail.docx", "A 6128-2026")</f>
        <v/>
      </c>
      <c r="AC24">
        <f>HYPERLINK("https://klasma.github.io/Logging_1486/tillsyn/A 6128-2026 tillsynsbegäran.docx", "A 6128-2026")</f>
        <v/>
      </c>
      <c r="AD24">
        <f>HYPERLINK("https://klasma.github.io/Logging_1486/tillsynsmail/A 6128-2026 tillsynsbegäran mail.docx", "A 6128-2026")</f>
        <v/>
      </c>
    </row>
    <row r="25" ht="15" customHeight="1">
      <c r="A25" t="inlineStr">
        <is>
          <t>A 33772-2023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45133</v>
      </c>
      <c r="E25" s="1" t="n">
        <v>46273</v>
      </c>
      <c r="F25" t="inlineStr">
        <is>
          <t>VÄSTRA GÖTALANDS LÄN</t>
        </is>
      </c>
      <c r="G25" t="inlineStr">
        <is>
          <t>STRÖMSTAD</t>
        </is>
      </c>
      <c r="I25" t="n">
        <v>2.2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Entita</t>
        </is>
      </c>
      <c r="W25">
        <f>HYPERLINK("https://klasma.github.io/Logging_1486/artfynd/A 33772-2023 artfynd.xlsx", "A 33772-2023")</f>
        <v/>
      </c>
      <c r="X25">
        <f>HYPERLINK("https://klasma.github.io/Logging_1486/kartor/A 33772-2023 karta.png", "A 33772-2023")</f>
        <v/>
      </c>
      <c r="Y25">
        <f>HYPERLINK("https://klasma.github.io/Logging_1486/kartor_geotiff/A 33772-2023 georefererad karta.tif", "A 33772-2023")</f>
        <v/>
      </c>
      <c r="AA25">
        <f>HYPERLINK("https://klasma.github.io/Logging_1486/klagomål/A 33772-2023 FSC-klagomål.docx", "A 33772-2023")</f>
        <v/>
      </c>
      <c r="AB25">
        <f>HYPERLINK("https://klasma.github.io/Logging_1486/klagomålsmail/A 33772-2023 FSC-klagomål mail.docx", "A 33772-2023")</f>
        <v/>
      </c>
      <c r="AC25">
        <f>HYPERLINK("https://klasma.github.io/Logging_1486/tillsyn/A 33772-2023 tillsynsbegäran.docx", "A 33772-2023")</f>
        <v/>
      </c>
      <c r="AD25">
        <f>HYPERLINK("https://klasma.github.io/Logging_1486/tillsynsmail/A 33772-2023 tillsynsbegäran mail.docx", "A 33772-2023")</f>
        <v/>
      </c>
      <c r="AE25">
        <f>HYPERLINK("https://klasma.github.io/Logging_1486/fåglar/A 33772-2023 prioriterade fågelarter.docx", "A 33772-2023")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46273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46273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46273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46273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46273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12779-2025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46273</v>
      </c>
      <c r="F31" t="inlineStr">
        <is>
          <t>VÄSTRA GÖTALANDS LÄN</t>
        </is>
      </c>
      <c r="G31" t="inlineStr">
        <is>
          <t>STRÖMSTAD</t>
        </is>
      </c>
      <c r="I31" t="n">
        <v>10.1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HYPERLINK("https://klasma.github.io/Logging_1486/artfynd/A 12779-2025 artfynd.xlsx", "A 12779-2025")</f>
        <v/>
      </c>
      <c r="X31">
        <f>HYPERLINK("https://klasma.github.io/Logging_1486/kartor/A 12779-2025 karta.png", "A 12779-2025")</f>
        <v/>
      </c>
      <c r="Y31">
        <f>HYPERLINK("https://klasma.github.io/Logging_1486/kartor_geotiff/A 12779-2025 georefererad karta.tif", "A 12779-2025")</f>
        <v/>
      </c>
      <c r="AA31">
        <f>HYPERLINK("https://klasma.github.io/Logging_1486/klagomål/A 12779-2025 FSC-klagomål.docx", "A 12779-2025")</f>
        <v/>
      </c>
      <c r="AB31">
        <f>HYPERLINK("https://klasma.github.io/Logging_1486/klagomålsmail/A 12779-2025 FSC-klagomål mail.docx", "A 12779-2025")</f>
        <v/>
      </c>
      <c r="AC31">
        <f>HYPERLINK("https://klasma.github.io/Logging_1486/tillsyn/A 12779-2025 tillsynsbegäran.docx", "A 12779-2025")</f>
        <v/>
      </c>
      <c r="AD31">
        <f>HYPERLINK("https://klasma.github.io/Logging_1486/tillsynsmail/A 12779-2025 tillsynsbegäran mail.docx", "A 12779-2025")</f>
        <v/>
      </c>
      <c r="AE31">
        <f>HYPERLINK("https://klasma.github.io/Logging_1486/fåglar/A 12779-2025 prioriterade fågelarter.docx", "A 12779-2025")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46273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46273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46273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46273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46273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46273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46273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46273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46273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46273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46273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46273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46273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46273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46273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46273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46273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46273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46273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46273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46273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46273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46273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46273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46273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46273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46273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46273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46273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46273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46273</v>
      </c>
      <c r="F62" t="inlineStr">
        <is>
          <t>VÄSTRA GÖTALANDS LÄN</t>
        </is>
      </c>
      <c r="G62" t="inlineStr">
        <is>
          <t>STRÖMSTAD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46273</v>
      </c>
      <c r="F63" t="inlineStr">
        <is>
          <t>VÄSTRA GÖTALANDS LÄN</t>
        </is>
      </c>
      <c r="G63" t="inlineStr">
        <is>
          <t>STRÖMSTAD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41991-2022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46273</v>
      </c>
      <c r="F64" t="inlineStr">
        <is>
          <t>VÄSTRA GÖTALANDS LÄN</t>
        </is>
      </c>
      <c r="G64" t="inlineStr">
        <is>
          <t>STRÖMSTAD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46273</v>
      </c>
      <c r="F65" t="inlineStr">
        <is>
          <t>VÄSTRA GÖTALANDS LÄN</t>
        </is>
      </c>
      <c r="G65" t="inlineStr">
        <is>
          <t>STRÖMSTAD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46273</v>
      </c>
      <c r="F66" t="inlineStr">
        <is>
          <t>VÄSTRA GÖTALANDS LÄN</t>
        </is>
      </c>
      <c r="G66" t="inlineStr">
        <is>
          <t>STRÖMSTAD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46273</v>
      </c>
      <c r="F67" t="inlineStr">
        <is>
          <t>VÄSTRA GÖTALANDS LÄN</t>
        </is>
      </c>
      <c r="G67" t="inlineStr">
        <is>
          <t>STRÖMSTAD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45578</v>
      </c>
      <c r="E68" s="1" t="n">
        <v>46273</v>
      </c>
      <c r="F68" t="inlineStr">
        <is>
          <t>VÄSTRA GÖTALANDS LÄN</t>
        </is>
      </c>
      <c r="G68" t="inlineStr">
        <is>
          <t>STRÖMSTAD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13325-2022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46273</v>
      </c>
      <c r="F69" t="inlineStr">
        <is>
          <t>VÄSTRA GÖTALANDS LÄN</t>
        </is>
      </c>
      <c r="G69" t="inlineStr">
        <is>
          <t>STRÖMSTAD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46273</v>
      </c>
      <c r="F70" t="inlineStr">
        <is>
          <t>VÄSTRA GÖTALANDS LÄN</t>
        </is>
      </c>
      <c r="G70" t="inlineStr">
        <is>
          <t>STRÖMSTAD</t>
        </is>
      </c>
      <c r="H70" t="inlineStr">
        <is>
          <t>Kommuner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44987</v>
      </c>
      <c r="E71" s="1" t="n">
        <v>46273</v>
      </c>
      <c r="F71" t="inlineStr">
        <is>
          <t>VÄSTRA GÖTALANDS LÄN</t>
        </is>
      </c>
      <c r="G71" t="inlineStr">
        <is>
          <t>STRÖMSTAD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17525-2025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45757</v>
      </c>
      <c r="E72" s="1" t="n">
        <v>46273</v>
      </c>
      <c r="F72" t="inlineStr">
        <is>
          <t>VÄSTRA GÖTALANDS LÄN</t>
        </is>
      </c>
      <c r="G72" t="inlineStr">
        <is>
          <t>STRÖMSTAD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29308-2025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46273</v>
      </c>
      <c r="F73" t="inlineStr">
        <is>
          <t>VÄSTRA GÖTALANDS LÄN</t>
        </is>
      </c>
      <c r="G73" t="inlineStr">
        <is>
          <t>STRÖMSTAD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53761-2024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46273</v>
      </c>
      <c r="F74" t="inlineStr">
        <is>
          <t>VÄSTRA GÖTALANDS LÄN</t>
        </is>
      </c>
      <c r="G74" t="inlineStr">
        <is>
          <t>STRÖMSTAD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46273</v>
      </c>
      <c r="F75" t="inlineStr">
        <is>
          <t>VÄSTRA GÖTALANDS LÄN</t>
        </is>
      </c>
      <c r="G75" t="inlineStr">
        <is>
          <t>STRÖMSTAD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16989-2023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45033</v>
      </c>
      <c r="E76" s="1" t="n">
        <v>46273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Kommuner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46273</v>
      </c>
      <c r="F77" t="inlineStr">
        <is>
          <t>VÄSTRA GÖTALANDS LÄN</t>
        </is>
      </c>
      <c r="G77" t="inlineStr">
        <is>
          <t>STRÖMSTAD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46273</v>
      </c>
      <c r="F78" t="inlineStr">
        <is>
          <t>VÄSTRA GÖTALANDS LÄN</t>
        </is>
      </c>
      <c r="G78" t="inlineStr">
        <is>
          <t>STRÖMSTAD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46273</v>
      </c>
      <c r="F79" t="inlineStr">
        <is>
          <t>VÄSTRA GÖTALANDS LÄN</t>
        </is>
      </c>
      <c r="G79" t="inlineStr">
        <is>
          <t>STRÖMSTAD</t>
        </is>
      </c>
      <c r="I79" t="n">
        <v>6.3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45133</v>
      </c>
      <c r="E80" s="1" t="n">
        <v>46273</v>
      </c>
      <c r="F80" t="inlineStr">
        <is>
          <t>VÄSTRA GÖTALANDS LÄN</t>
        </is>
      </c>
      <c r="G80" t="inlineStr">
        <is>
          <t>STRÖMSTAD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46273</v>
      </c>
      <c r="F81" t="inlineStr">
        <is>
          <t>VÄSTRA GÖTALANDS LÄN</t>
        </is>
      </c>
      <c r="G81" t="inlineStr">
        <is>
          <t>STRÖMSTAD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46273</v>
      </c>
      <c r="F82" t="inlineStr">
        <is>
          <t>VÄSTRA GÖTALANDS LÄN</t>
        </is>
      </c>
      <c r="G82" t="inlineStr">
        <is>
          <t>STRÖMSTAD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45876</v>
      </c>
      <c r="E83" s="1" t="n">
        <v>46273</v>
      </c>
      <c r="F83" t="inlineStr">
        <is>
          <t>VÄSTRA GÖTALANDS LÄN</t>
        </is>
      </c>
      <c r="G83" t="inlineStr">
        <is>
          <t>STRÖMSTAD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21355-2026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46142</v>
      </c>
      <c r="E84" s="1" t="n">
        <v>46273</v>
      </c>
      <c r="F84" t="inlineStr">
        <is>
          <t>VÄSTRA GÖTALANDS LÄN</t>
        </is>
      </c>
      <c r="G84" t="inlineStr">
        <is>
          <t>STRÖMSTAD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46273</v>
      </c>
      <c r="F85" t="inlineStr">
        <is>
          <t>VÄSTRA GÖTALANDS LÄN</t>
        </is>
      </c>
      <c r="G85" t="inlineStr">
        <is>
          <t>STRÖMSTAD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45678</v>
      </c>
      <c r="E86" s="1" t="n">
        <v>46273</v>
      </c>
      <c r="F86" t="inlineStr">
        <is>
          <t>VÄSTRA GÖTALANDS LÄN</t>
        </is>
      </c>
      <c r="G86" t="inlineStr">
        <is>
          <t>STRÖMSTAD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45057</v>
      </c>
      <c r="E87" s="1" t="n">
        <v>46273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19134-2025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45764</v>
      </c>
      <c r="E88" s="1" t="n">
        <v>46273</v>
      </c>
      <c r="F88" t="inlineStr">
        <is>
          <t>VÄSTRA GÖTALANDS LÄN</t>
        </is>
      </c>
      <c r="G88" t="inlineStr">
        <is>
          <t>STRÖMSTAD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50401-2021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44459</v>
      </c>
      <c r="E89" s="1" t="n">
        <v>46273</v>
      </c>
      <c r="F89" t="inlineStr">
        <is>
          <t>VÄSTRA GÖTALANDS LÄN</t>
        </is>
      </c>
      <c r="G89" t="inlineStr">
        <is>
          <t>STRÖMSTAD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21819-2026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46273</v>
      </c>
      <c r="F90" t="inlineStr">
        <is>
          <t>VÄSTRA GÖTALANDS LÄN</t>
        </is>
      </c>
      <c r="G90" t="inlineStr">
        <is>
          <t>STRÖMSTAD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21833-2026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46273</v>
      </c>
      <c r="F91" t="inlineStr">
        <is>
          <t>VÄSTRA GÖTALANDS LÄN</t>
        </is>
      </c>
      <c r="G91" t="inlineStr">
        <is>
          <t>STRÖMSTAD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46273</v>
      </c>
      <c r="F92" t="inlineStr">
        <is>
          <t>VÄSTRA GÖTALANDS LÄN</t>
        </is>
      </c>
      <c r="G92" t="inlineStr">
        <is>
          <t>STRÖMSTAD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46150</v>
      </c>
      <c r="E93" s="1" t="n">
        <v>46273</v>
      </c>
      <c r="F93" t="inlineStr">
        <is>
          <t>VÄSTRA GÖTALANDS LÄN</t>
        </is>
      </c>
      <c r="G93" t="inlineStr">
        <is>
          <t>STRÖMSTAD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46149</v>
      </c>
      <c r="E94" s="1" t="n">
        <v>46273</v>
      </c>
      <c r="F94" t="inlineStr">
        <is>
          <t>VÄSTRA GÖTALANDS LÄN</t>
        </is>
      </c>
      <c r="G94" t="inlineStr">
        <is>
          <t>STRÖMSTAD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21826-2026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46273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21828-2026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46273</v>
      </c>
      <c r="F96" t="inlineStr">
        <is>
          <t>VÄSTRA GÖTALANDS LÄN</t>
        </is>
      </c>
      <c r="G96" t="inlineStr">
        <is>
          <t>STRÖMSTAD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46154</v>
      </c>
      <c r="E97" s="1" t="n">
        <v>46273</v>
      </c>
      <c r="F97" t="inlineStr">
        <is>
          <t>VÄSTRA GÖTALANDS LÄN</t>
        </is>
      </c>
      <c r="G97" t="inlineStr">
        <is>
          <t>STRÖMSTAD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45071</v>
      </c>
      <c r="E98" s="1" t="n">
        <v>46273</v>
      </c>
      <c r="F98" t="inlineStr">
        <is>
          <t>VÄSTRA GÖTALANDS LÄN</t>
        </is>
      </c>
      <c r="G98" t="inlineStr">
        <is>
          <t>STRÖMSTAD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46273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Övriga Aktiebolag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46273</v>
      </c>
      <c r="F100" t="inlineStr">
        <is>
          <t>VÄSTRA GÖTALANDS LÄN</t>
        </is>
      </c>
      <c r="G100" t="inlineStr">
        <is>
          <t>STRÖMSTAD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46273</v>
      </c>
      <c r="F101" t="inlineStr">
        <is>
          <t>VÄSTRA GÖTALANDS LÄN</t>
        </is>
      </c>
      <c r="G101" t="inlineStr">
        <is>
          <t>STRÖMSTAD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46273</v>
      </c>
      <c r="F102" t="inlineStr">
        <is>
          <t>VÄSTRA GÖTALANDS LÄN</t>
        </is>
      </c>
      <c r="G102" t="inlineStr">
        <is>
          <t>STRÖMSTAD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46273</v>
      </c>
      <c r="F103" t="inlineStr">
        <is>
          <t>VÄSTRA GÖTALANDS LÄN</t>
        </is>
      </c>
      <c r="G103" t="inlineStr">
        <is>
          <t>STRÖMSTAD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46273</v>
      </c>
      <c r="F104" t="inlineStr">
        <is>
          <t>VÄSTRA GÖTALANDS LÄN</t>
        </is>
      </c>
      <c r="G104" t="inlineStr">
        <is>
          <t>STRÖMSTAD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45301</v>
      </c>
      <c r="E105" s="1" t="n">
        <v>46273</v>
      </c>
      <c r="F105" t="inlineStr">
        <is>
          <t>VÄSTRA GÖTALANDS LÄN</t>
        </is>
      </c>
      <c r="G105" t="inlineStr">
        <is>
          <t>STRÖMSTAD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45316</v>
      </c>
      <c r="E106" s="1" t="n">
        <v>46273</v>
      </c>
      <c r="F106" t="inlineStr">
        <is>
          <t>VÄSTRA GÖTALANDS LÄN</t>
        </is>
      </c>
      <c r="G106" t="inlineStr">
        <is>
          <t>STRÖMSTAD</t>
        </is>
      </c>
      <c r="H106" t="inlineStr">
        <is>
          <t>Kommuner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45819</v>
      </c>
      <c r="E107" s="1" t="n">
        <v>46273</v>
      </c>
      <c r="F107" t="inlineStr">
        <is>
          <t>VÄSTRA GÖTALANDS LÄN</t>
        </is>
      </c>
      <c r="G107" t="inlineStr">
        <is>
          <t>STRÖMSTAD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45964</v>
      </c>
      <c r="E108" s="1" t="n">
        <v>46273</v>
      </c>
      <c r="F108" t="inlineStr">
        <is>
          <t>VÄSTRA GÖTALANDS LÄN</t>
        </is>
      </c>
      <c r="G108" t="inlineStr">
        <is>
          <t>STRÖMSTAD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46273</v>
      </c>
      <c r="F109" t="inlineStr">
        <is>
          <t>VÄSTRA GÖTALANDS LÄN</t>
        </is>
      </c>
      <c r="G109" t="inlineStr">
        <is>
          <t>STRÖMSTAD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45972</v>
      </c>
      <c r="E110" s="1" t="n">
        <v>46273</v>
      </c>
      <c r="F110" t="inlineStr">
        <is>
          <t>VÄSTRA GÖTALANDS LÄN</t>
        </is>
      </c>
      <c r="G110" t="inlineStr">
        <is>
          <t>STRÖMSTAD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46273</v>
      </c>
      <c r="F111" t="inlineStr">
        <is>
          <t>VÄSTRA GÖTALANDS LÄN</t>
        </is>
      </c>
      <c r="G111" t="inlineStr">
        <is>
          <t>STRÖMSTAD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46273</v>
      </c>
      <c r="F112" t="inlineStr">
        <is>
          <t>VÄSTRA GÖTALANDS LÄN</t>
        </is>
      </c>
      <c r="G112" t="inlineStr">
        <is>
          <t>STRÖMSTAD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56130-2022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44886</v>
      </c>
      <c r="E113" s="1" t="n">
        <v>46273</v>
      </c>
      <c r="F113" t="inlineStr">
        <is>
          <t>VÄSTRA GÖTALANDS LÄN</t>
        </is>
      </c>
      <c r="G113" t="inlineStr">
        <is>
          <t>STRÖMSTAD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45133</v>
      </c>
      <c r="E114" s="1" t="n">
        <v>46273</v>
      </c>
      <c r="F114" t="inlineStr">
        <is>
          <t>VÄSTRA GÖTALANDS LÄN</t>
        </is>
      </c>
      <c r="G114" t="inlineStr">
        <is>
          <t>STRÖMSTAD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46273</v>
      </c>
      <c r="F115" t="inlineStr">
        <is>
          <t>VÄSTRA GÖTALANDS LÄN</t>
        </is>
      </c>
      <c r="G115" t="inlineStr">
        <is>
          <t>STRÖMSTAD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46182</v>
      </c>
      <c r="E116" s="1" t="n">
        <v>46273</v>
      </c>
      <c r="F116" t="inlineStr">
        <is>
          <t>VÄSTRA GÖTALANDS LÄN</t>
        </is>
      </c>
      <c r="G116" t="inlineStr">
        <is>
          <t>STRÖMSTAD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46273</v>
      </c>
      <c r="F117" t="inlineStr">
        <is>
          <t>VÄSTRA GÖTALANDS LÄN</t>
        </is>
      </c>
      <c r="G117" t="inlineStr">
        <is>
          <t>STRÖMSTAD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45482</v>
      </c>
      <c r="E118" s="1" t="n">
        <v>46273</v>
      </c>
      <c r="F118" t="inlineStr">
        <is>
          <t>VÄSTRA GÖTALANDS LÄN</t>
        </is>
      </c>
      <c r="G118" t="inlineStr">
        <is>
          <t>STRÖMSTAD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46273</v>
      </c>
      <c r="F119" t="inlineStr">
        <is>
          <t>VÄSTRA GÖTALANDS LÄN</t>
        </is>
      </c>
      <c r="G119" t="inlineStr">
        <is>
          <t>STRÖMSTAD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44603</v>
      </c>
      <c r="E120" s="1" t="n">
        <v>46273</v>
      </c>
      <c r="F120" t="inlineStr">
        <is>
          <t>VÄSTRA GÖTALANDS LÄN</t>
        </is>
      </c>
      <c r="G120" t="inlineStr">
        <is>
          <t>STRÖMSTAD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45981</v>
      </c>
      <c r="E121" s="1" t="n">
        <v>46273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45600</v>
      </c>
      <c r="E122" s="1" t="n">
        <v>46273</v>
      </c>
      <c r="F122" t="inlineStr">
        <is>
          <t>VÄSTRA GÖTALANDS LÄN</t>
        </is>
      </c>
      <c r="G122" t="inlineStr">
        <is>
          <t>STRÖMSTAD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67875-2021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46273</v>
      </c>
      <c r="F123" t="inlineStr">
        <is>
          <t>VÄSTRA GÖTALANDS LÄN</t>
        </is>
      </c>
      <c r="G123" t="inlineStr">
        <is>
          <t>STRÖMSTAD</t>
        </is>
      </c>
      <c r="I123" t="n">
        <v>15.5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45407</v>
      </c>
      <c r="E124" s="1" t="n">
        <v>46273</v>
      </c>
      <c r="F124" t="inlineStr">
        <is>
          <t>VÄSTRA GÖTALANDS LÄN</t>
        </is>
      </c>
      <c r="G124" t="inlineStr">
        <is>
          <t>STRÖMSTAD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46273</v>
      </c>
      <c r="F125" t="inlineStr">
        <is>
          <t>VÄSTRA GÖTALANDS LÄN</t>
        </is>
      </c>
      <c r="G125" t="inlineStr">
        <is>
          <t>STRÖMSTAD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46273</v>
      </c>
      <c r="F126" t="inlineStr">
        <is>
          <t>VÄSTRA GÖTALANDS LÄN</t>
        </is>
      </c>
      <c r="G126" t="inlineStr">
        <is>
          <t>STRÖMSTAD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46273</v>
      </c>
      <c r="F127" t="inlineStr">
        <is>
          <t>VÄSTRA GÖTALANDS LÄN</t>
        </is>
      </c>
      <c r="G127" t="inlineStr">
        <is>
          <t>STRÖMSTAD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40369-2024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45555</v>
      </c>
      <c r="E128" s="1" t="n">
        <v>46273</v>
      </c>
      <c r="F128" t="inlineStr">
        <is>
          <t>VÄSTRA GÖTALANDS LÄN</t>
        </is>
      </c>
      <c r="G128" t="inlineStr">
        <is>
          <t>STRÖMSTAD</t>
        </is>
      </c>
      <c r="I128" t="n">
        <v>14.5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46273</v>
      </c>
      <c r="F129" t="inlineStr">
        <is>
          <t>VÄSTRA GÖTALANDS LÄN</t>
        </is>
      </c>
      <c r="G129" t="inlineStr">
        <is>
          <t>STRÖMSTAD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46273</v>
      </c>
      <c r="F130" t="inlineStr">
        <is>
          <t>VÄSTRA GÖTALANDS LÄN</t>
        </is>
      </c>
      <c r="G130" t="inlineStr">
        <is>
          <t>STRÖMSTAD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46196</v>
      </c>
      <c r="E131" s="1" t="n">
        <v>46273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46273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46273</v>
      </c>
      <c r="F133" t="inlineStr">
        <is>
          <t>VÄSTRA GÖTALANDS LÄN</t>
        </is>
      </c>
      <c r="G133" t="inlineStr">
        <is>
          <t>STRÖMSTAD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46273</v>
      </c>
      <c r="F134" t="inlineStr">
        <is>
          <t>VÄSTRA GÖTALANDS LÄN</t>
        </is>
      </c>
      <c r="G134" t="inlineStr">
        <is>
          <t>STRÖMSTAD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22693-2026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46156</v>
      </c>
      <c r="E135" s="1" t="n">
        <v>46273</v>
      </c>
      <c r="F135" t="inlineStr">
        <is>
          <t>VÄSTRA GÖTALANDS LÄN</t>
        </is>
      </c>
      <c r="G135" t="inlineStr">
        <is>
          <t>STRÖMSTAD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46273</v>
      </c>
      <c r="F136" t="inlineStr">
        <is>
          <t>VÄSTRA GÖTALANDS LÄN</t>
        </is>
      </c>
      <c r="G136" t="inlineStr">
        <is>
          <t>STRÖMSTAD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45547</v>
      </c>
      <c r="E137" s="1" t="n">
        <v>46273</v>
      </c>
      <c r="F137" t="inlineStr">
        <is>
          <t>VÄSTRA GÖTALANDS LÄN</t>
        </is>
      </c>
      <c r="G137" t="inlineStr">
        <is>
          <t>STRÖMSTAD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8047-2024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45351</v>
      </c>
      <c r="E138" s="1" t="n">
        <v>46273</v>
      </c>
      <c r="F138" t="inlineStr">
        <is>
          <t>VÄSTRA GÖTALANDS LÄN</t>
        </is>
      </c>
      <c r="G138" t="inlineStr">
        <is>
          <t>STRÖMSTAD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46273</v>
      </c>
      <c r="F139" t="inlineStr">
        <is>
          <t>VÄSTRA GÖTALANDS LÄN</t>
        </is>
      </c>
      <c r="G139" t="inlineStr">
        <is>
          <t>STRÖMSTAD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45085</v>
      </c>
      <c r="E140" s="1" t="n">
        <v>46273</v>
      </c>
      <c r="F140" t="inlineStr">
        <is>
          <t>VÄSTRA GÖTALANDS LÄN</t>
        </is>
      </c>
      <c r="G140" t="inlineStr">
        <is>
          <t>STRÖMSTAD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46273</v>
      </c>
      <c r="F141" t="inlineStr">
        <is>
          <t>VÄSTRA GÖTALANDS LÄN</t>
        </is>
      </c>
      <c r="G141" t="inlineStr">
        <is>
          <t>STRÖMSTAD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46273</v>
      </c>
      <c r="F142" t="inlineStr">
        <is>
          <t>VÄSTRA GÖTALANDS LÄN</t>
        </is>
      </c>
      <c r="G142" t="inlineStr">
        <is>
          <t>STRÖMSTAD</t>
        </is>
      </c>
      <c r="H142" t="inlineStr">
        <is>
          <t>Kommuner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20888-2022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44701</v>
      </c>
      <c r="E143" s="1" t="n">
        <v>46273</v>
      </c>
      <c r="F143" t="inlineStr">
        <is>
          <t>VÄSTRA GÖTALANDS LÄN</t>
        </is>
      </c>
      <c r="G143" t="inlineStr">
        <is>
          <t>STRÖMSTAD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46273</v>
      </c>
      <c r="F144" t="inlineStr">
        <is>
          <t>VÄSTRA GÖTALANDS LÄN</t>
        </is>
      </c>
      <c r="G144" t="inlineStr">
        <is>
          <t>STRÖMSTAD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46273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46063</v>
      </c>
      <c r="E146" s="1" t="n">
        <v>46273</v>
      </c>
      <c r="F146" t="inlineStr">
        <is>
          <t>VÄSTRA GÖTALANDS LÄN</t>
        </is>
      </c>
      <c r="G146" t="inlineStr">
        <is>
          <t>STRÖMSTAD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46063</v>
      </c>
      <c r="E147" s="1" t="n">
        <v>46273</v>
      </c>
      <c r="F147" t="inlineStr">
        <is>
          <t>VÄSTRA GÖTALANDS LÄN</t>
        </is>
      </c>
      <c r="G147" t="inlineStr">
        <is>
          <t>STRÖMSTAD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46204</v>
      </c>
      <c r="E148" s="1" t="n">
        <v>46273</v>
      </c>
      <c r="F148" t="inlineStr">
        <is>
          <t>VÄSTRA GÖTALANDS LÄN</t>
        </is>
      </c>
      <c r="G148" t="inlineStr">
        <is>
          <t>STRÖMSTAD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46273</v>
      </c>
      <c r="F149" t="inlineStr">
        <is>
          <t>VÄSTRA GÖTALANDS LÄN</t>
        </is>
      </c>
      <c r="G149" t="inlineStr">
        <is>
          <t>STRÖMSTAD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46273</v>
      </c>
      <c r="F150" t="inlineStr">
        <is>
          <t>VÄSTRA GÖTALANDS LÄN</t>
        </is>
      </c>
      <c r="G150" t="inlineStr">
        <is>
          <t>STRÖMSTAD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46273</v>
      </c>
      <c r="F151" t="inlineStr">
        <is>
          <t>VÄSTRA GÖTALANDS LÄN</t>
        </is>
      </c>
      <c r="G151" t="inlineStr">
        <is>
          <t>STRÖMSTAD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45318</v>
      </c>
      <c r="E152" s="1" t="n">
        <v>46273</v>
      </c>
      <c r="F152" t="inlineStr">
        <is>
          <t>VÄSTRA GÖTALANDS LÄN</t>
        </is>
      </c>
      <c r="G152" t="inlineStr">
        <is>
          <t>STRÖMSTAD</t>
        </is>
      </c>
      <c r="H152" t="inlineStr">
        <is>
          <t>Kommuner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44704</v>
      </c>
      <c r="E153" s="1" t="n">
        <v>46273</v>
      </c>
      <c r="F153" t="inlineStr">
        <is>
          <t>VÄSTRA GÖTALANDS LÄN</t>
        </is>
      </c>
      <c r="G153" t="inlineStr">
        <is>
          <t>STRÖMSTAD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46273</v>
      </c>
      <c r="F154" t="inlineStr">
        <is>
          <t>VÄSTRA GÖTALANDS LÄN</t>
        </is>
      </c>
      <c r="G154" t="inlineStr">
        <is>
          <t>STRÖMSTAD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46273</v>
      </c>
      <c r="F155" t="inlineStr">
        <is>
          <t>VÄSTRA GÖTALANDS LÄN</t>
        </is>
      </c>
      <c r="G155" t="inlineStr">
        <is>
          <t>STRÖMSTAD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14456-2026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46273</v>
      </c>
      <c r="F156" t="inlineStr">
        <is>
          <t>VÄSTRA GÖTALANDS LÄN</t>
        </is>
      </c>
      <c r="G156" t="inlineStr">
        <is>
          <t>STRÖMSTAD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46273</v>
      </c>
      <c r="F157" t="inlineStr">
        <is>
          <t>VÄSTRA GÖTALANDS LÄN</t>
        </is>
      </c>
      <c r="G157" t="inlineStr">
        <is>
          <t>STRÖMSTAD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46100</v>
      </c>
      <c r="E158" s="1" t="n">
        <v>46273</v>
      </c>
      <c r="F158" t="inlineStr">
        <is>
          <t>VÄSTRA GÖTALANDS LÄN</t>
        </is>
      </c>
      <c r="G158" t="inlineStr">
        <is>
          <t>STRÖMSTAD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46273</v>
      </c>
      <c r="F159" t="inlineStr">
        <is>
          <t>VÄSTRA GÖTALANDS LÄN</t>
        </is>
      </c>
      <c r="G159" t="inlineStr">
        <is>
          <t>STRÖMSTAD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46273</v>
      </c>
      <c r="F160" t="inlineStr">
        <is>
          <t>VÄSTRA GÖTALANDS LÄN</t>
        </is>
      </c>
      <c r="G160" t="inlineStr">
        <is>
          <t>STRÖMSTAD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45301</v>
      </c>
      <c r="E161" s="1" t="n">
        <v>46273</v>
      </c>
      <c r="F161" t="inlineStr">
        <is>
          <t>VÄSTRA GÖTALANDS LÄN</t>
        </is>
      </c>
      <c r="G161" t="inlineStr">
        <is>
          <t>STRÖMSTAD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46266</v>
      </c>
      <c r="E162" s="1" t="n">
        <v>46273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45482</v>
      </c>
      <c r="E163" s="1" t="n">
        <v>46273</v>
      </c>
      <c r="F163" t="inlineStr">
        <is>
          <t>VÄSTRA GÖTALANDS LÄN</t>
        </is>
      </c>
      <c r="G163" t="inlineStr">
        <is>
          <t>STRÖMSTAD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44892</v>
      </c>
      <c r="E164" s="1" t="n">
        <v>46273</v>
      </c>
      <c r="F164" t="inlineStr">
        <is>
          <t>VÄSTRA GÖTALANDS LÄN</t>
        </is>
      </c>
      <c r="G164" t="inlineStr">
        <is>
          <t>STRÖMSTAD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46103</v>
      </c>
      <c r="E165" s="1" t="n">
        <v>46273</v>
      </c>
      <c r="F165" t="inlineStr">
        <is>
          <t>VÄSTRA GÖTALANDS LÄN</t>
        </is>
      </c>
      <c r="G165" t="inlineStr">
        <is>
          <t>STRÖMSTAD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46230</v>
      </c>
      <c r="E166" s="1" t="n">
        <v>46273</v>
      </c>
      <c r="F166" t="inlineStr">
        <is>
          <t>VÄSTRA GÖTALANDS LÄN</t>
        </is>
      </c>
      <c r="G166" t="inlineStr">
        <is>
          <t>STRÖMSTAD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46273</v>
      </c>
      <c r="F167" t="inlineStr">
        <is>
          <t>VÄSTRA GÖTALANDS LÄN</t>
        </is>
      </c>
      <c r="G167" t="inlineStr">
        <is>
          <t>STRÖMSTAD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45019</v>
      </c>
      <c r="E168" s="1" t="n">
        <v>46273</v>
      </c>
      <c r="F168" t="inlineStr">
        <is>
          <t>VÄSTRA GÖTALANDS LÄN</t>
        </is>
      </c>
      <c r="G168" t="inlineStr">
        <is>
          <t>STRÖMSTAD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44621</v>
      </c>
      <c r="E169" s="1" t="n">
        <v>46273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20968-2023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45061</v>
      </c>
      <c r="E170" s="1" t="n">
        <v>46273</v>
      </c>
      <c r="F170" t="inlineStr">
        <is>
          <t>VÄSTRA GÖTALANDS LÄN</t>
        </is>
      </c>
      <c r="G170" t="inlineStr">
        <is>
          <t>STRÖMSTAD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46273</v>
      </c>
      <c r="F171" t="inlineStr">
        <is>
          <t>VÄSTRA GÖTALANDS LÄN</t>
        </is>
      </c>
      <c r="G171" t="inlineStr">
        <is>
          <t>STRÖMSTAD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45579</v>
      </c>
      <c r="E172" s="1" t="n">
        <v>46273</v>
      </c>
      <c r="F172" t="inlineStr">
        <is>
          <t>VÄSTRA GÖTALANDS LÄN</t>
        </is>
      </c>
      <c r="G172" t="inlineStr">
        <is>
          <t>STRÖMSTAD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46273</v>
      </c>
      <c r="F173" t="inlineStr">
        <is>
          <t>VÄSTRA GÖTALANDS LÄN</t>
        </is>
      </c>
      <c r="G173" t="inlineStr">
        <is>
          <t>STRÖMSTAD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46273</v>
      </c>
      <c r="F174" t="inlineStr">
        <is>
          <t>VÄSTRA GÖTALANDS LÄN</t>
        </is>
      </c>
      <c r="G174" t="inlineStr">
        <is>
          <t>STRÖMSTAD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45331</v>
      </c>
      <c r="E175" s="1" t="n">
        <v>46273</v>
      </c>
      <c r="F175" t="inlineStr">
        <is>
          <t>VÄSTRA GÖTALANDS LÄN</t>
        </is>
      </c>
      <c r="G175" t="inlineStr">
        <is>
          <t>STRÖMSTAD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46273</v>
      </c>
      <c r="F176" t="inlineStr">
        <is>
          <t>VÄSTRA GÖTALANDS LÄN</t>
        </is>
      </c>
      <c r="G176" t="inlineStr">
        <is>
          <t>STRÖMSTAD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44907</v>
      </c>
      <c r="E177" s="1" t="n">
        <v>46273</v>
      </c>
      <c r="F177" t="inlineStr">
        <is>
          <t>VÄSTRA GÖTALANDS LÄN</t>
        </is>
      </c>
      <c r="G177" t="inlineStr">
        <is>
          <t>STRÖMSTAD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46273</v>
      </c>
      <c r="F178" t="inlineStr">
        <is>
          <t>VÄSTRA GÖTALANDS LÄN</t>
        </is>
      </c>
      <c r="G178" t="inlineStr">
        <is>
          <t>STRÖMSTAD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46273</v>
      </c>
      <c r="F179" t="inlineStr">
        <is>
          <t>VÄSTRA GÖTALANDS LÄN</t>
        </is>
      </c>
      <c r="G179" t="inlineStr">
        <is>
          <t>STRÖMSTAD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46273</v>
      </c>
      <c r="F180" t="inlineStr">
        <is>
          <t>VÄSTRA GÖTALANDS LÄN</t>
        </is>
      </c>
      <c r="G180" t="inlineStr">
        <is>
          <t>STRÖMSTAD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45646</v>
      </c>
      <c r="E181" s="1" t="n">
        <v>46273</v>
      </c>
      <c r="F181" t="inlineStr">
        <is>
          <t>VÄSTRA GÖTALANDS LÄN</t>
        </is>
      </c>
      <c r="G181" t="inlineStr">
        <is>
          <t>STRÖMSTAD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46273</v>
      </c>
      <c r="F182" t="inlineStr">
        <is>
          <t>VÄSTRA GÖTALANDS LÄN</t>
        </is>
      </c>
      <c r="G182" t="inlineStr">
        <is>
          <t>STRÖMSTAD</t>
        </is>
      </c>
      <c r="H182" t="inlineStr">
        <is>
          <t>Kommuner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46273</v>
      </c>
      <c r="F183" t="inlineStr">
        <is>
          <t>VÄSTRA GÖTALANDS LÄN</t>
        </is>
      </c>
      <c r="G183" t="inlineStr">
        <is>
          <t>STRÖMSTAD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46273</v>
      </c>
      <c r="F184" t="inlineStr">
        <is>
          <t>VÄSTRA GÖTALANDS LÄN</t>
        </is>
      </c>
      <c r="G184" t="inlineStr">
        <is>
          <t>STRÖMSTAD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46273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Kyrkan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46273</v>
      </c>
      <c r="F186" t="inlineStr">
        <is>
          <t>VÄSTRA GÖTALANDS LÄN</t>
        </is>
      </c>
      <c r="G186" t="inlineStr">
        <is>
          <t>STRÖMSTAD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46273</v>
      </c>
      <c r="F187" t="inlineStr">
        <is>
          <t>VÄSTRA GÖTALANDS LÄN</t>
        </is>
      </c>
      <c r="G187" t="inlineStr">
        <is>
          <t>STRÖMSTAD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46273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46273</v>
      </c>
      <c r="F189" t="inlineStr">
        <is>
          <t>VÄSTRA GÖTALANDS LÄN</t>
        </is>
      </c>
      <c r="G189" t="inlineStr">
        <is>
          <t>STRÖMSTAD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46273</v>
      </c>
      <c r="F190" t="inlineStr">
        <is>
          <t>VÄSTRA GÖTALANDS LÄN</t>
        </is>
      </c>
      <c r="G190" t="inlineStr">
        <is>
          <t>STRÖMSTAD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45716</v>
      </c>
      <c r="E191" s="1" t="n">
        <v>46273</v>
      </c>
      <c r="F191" t="inlineStr">
        <is>
          <t>VÄSTRA GÖTALANDS LÄN</t>
        </is>
      </c>
      <c r="G191" t="inlineStr">
        <is>
          <t>STRÖMSTAD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45739</v>
      </c>
      <c r="E192" s="1" t="n">
        <v>46273</v>
      </c>
      <c r="F192" t="inlineStr">
        <is>
          <t>VÄSTRA GÖTALANDS LÄN</t>
        </is>
      </c>
      <c r="G192" t="inlineStr">
        <is>
          <t>STRÖMSTAD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46273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45739</v>
      </c>
      <c r="E194" s="1" t="n">
        <v>46273</v>
      </c>
      <c r="F194" t="inlineStr">
        <is>
          <t>VÄSTRA GÖTALANDS LÄN</t>
        </is>
      </c>
      <c r="G194" t="inlineStr">
        <is>
          <t>STRÖMSTAD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45596</v>
      </c>
      <c r="E195" s="1" t="n">
        <v>46273</v>
      </c>
      <c r="F195" t="inlineStr">
        <is>
          <t>VÄSTRA GÖTALANDS LÄN</t>
        </is>
      </c>
      <c r="G195" t="inlineStr">
        <is>
          <t>STRÖMSTAD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46273</v>
      </c>
      <c r="F196" t="inlineStr">
        <is>
          <t>VÄSTRA GÖTALANDS LÄN</t>
        </is>
      </c>
      <c r="G196" t="inlineStr">
        <is>
          <t>STRÖMSTAD</t>
        </is>
      </c>
      <c r="H196" t="inlineStr">
        <is>
          <t>Kommuner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46273</v>
      </c>
      <c r="F197" t="inlineStr">
        <is>
          <t>VÄSTRA GÖTALANDS LÄN</t>
        </is>
      </c>
      <c r="G197" t="inlineStr">
        <is>
          <t>STRÖMSTAD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44649</v>
      </c>
      <c r="E198" s="1" t="n">
        <v>46273</v>
      </c>
      <c r="F198" t="inlineStr">
        <is>
          <t>VÄSTRA GÖTALANDS LÄN</t>
        </is>
      </c>
      <c r="G198" t="inlineStr">
        <is>
          <t>STRÖMSTAD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45018</v>
      </c>
      <c r="E199" s="1" t="n">
        <v>46273</v>
      </c>
      <c r="F199" t="inlineStr">
        <is>
          <t>VÄSTRA GÖTALANDS LÄN</t>
        </is>
      </c>
      <c r="G199" t="inlineStr">
        <is>
          <t>STRÖMSTAD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46273</v>
      </c>
      <c r="F200" t="inlineStr">
        <is>
          <t>VÄSTRA GÖTALANDS LÄN</t>
        </is>
      </c>
      <c r="G200" t="inlineStr">
        <is>
          <t>STRÖMSTAD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46273</v>
      </c>
      <c r="F201" t="inlineStr">
        <is>
          <t>VÄSTRA GÖTALANDS LÄN</t>
        </is>
      </c>
      <c r="G201" t="inlineStr">
        <is>
          <t>STRÖMSTAD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46273</v>
      </c>
      <c r="F202" t="inlineStr">
        <is>
          <t>VÄSTRA GÖTALANDS LÄN</t>
        </is>
      </c>
      <c r="G202" t="inlineStr">
        <is>
          <t>STRÖMSTAD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46273</v>
      </c>
      <c r="F203" t="inlineStr">
        <is>
          <t>VÄSTRA GÖTALANDS LÄN</t>
        </is>
      </c>
      <c r="G203" t="inlineStr">
        <is>
          <t>STRÖMSTAD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46273</v>
      </c>
      <c r="F204" t="inlineStr">
        <is>
          <t>VÄSTRA GÖTALANDS LÄN</t>
        </is>
      </c>
      <c r="G204" t="inlineStr">
        <is>
          <t>STRÖMSTAD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46273</v>
      </c>
      <c r="F205" t="inlineStr">
        <is>
          <t>VÄSTRA GÖTALANDS LÄN</t>
        </is>
      </c>
      <c r="G205" t="inlineStr">
        <is>
          <t>STRÖMSTAD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46273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46273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46273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2026-09-08T02:12:49Z</dcterms:created>
  <dcterms:modified xmlns:dcterms="http://purl.org/dc/terms/" xmlns:xsi="http://www.w3.org/2001/XMLSchema-instance" xsi:type="dcterms:W3CDTF">2026-09-08T02:12:49Z</dcterms:modified>
</cp:coreProperties>
</file>