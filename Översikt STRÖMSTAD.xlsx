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45988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45988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45988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45988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45988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48687-2025</t>
        </is>
      </c>
      <c r="B10" s="1" t="n">
        <v>45936.60298611111</v>
      </c>
      <c r="C10" s="1" t="n">
        <v>45988</v>
      </c>
      <c r="D10" t="inlineStr">
        <is>
          <t>VÄSTRA GÖTALANDS LÄN</t>
        </is>
      </c>
      <c r="E10" t="inlineStr">
        <is>
          <t>STRÖMSTAD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Backstarr
Blåsippa</t>
        </is>
      </c>
      <c r="S10">
        <f>HYPERLINK("https://klasma.github.io/Logging_1486/artfynd/A 48687-2025 artfynd.xlsx", "A 48687-2025")</f>
        <v/>
      </c>
      <c r="T10">
        <f>HYPERLINK("https://klasma.github.io/Logging_1486/kartor/A 48687-2025 karta.png", "A 48687-2025")</f>
        <v/>
      </c>
      <c r="V10">
        <f>HYPERLINK("https://klasma.github.io/Logging_1486/klagomål/A 48687-2025 FSC-klagomål.docx", "A 48687-2025")</f>
        <v/>
      </c>
      <c r="W10">
        <f>HYPERLINK("https://klasma.github.io/Logging_1486/klagomålsmail/A 48687-2025 FSC-klagomål mail.docx", "A 48687-2025")</f>
        <v/>
      </c>
      <c r="X10">
        <f>HYPERLINK("https://klasma.github.io/Logging_1486/tillsyn/A 48687-2025 tillsynsbegäran.docx", "A 48687-2025")</f>
        <v/>
      </c>
      <c r="Y10">
        <f>HYPERLINK("https://klasma.github.io/Logging_1486/tillsynsmail/A 48687-2025 tillsynsbegäran mail.docx", "A 48687-2025")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45988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45988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17804-2021</t>
        </is>
      </c>
      <c r="B13" s="1" t="n">
        <v>44300</v>
      </c>
      <c r="C13" s="1" t="n">
        <v>45988</v>
      </c>
      <c r="D13" t="inlineStr">
        <is>
          <t>VÄSTRA GÖTALANDS LÄN</t>
        </is>
      </c>
      <c r="E13" t="inlineStr">
        <is>
          <t>STRÖMSTAD</t>
        </is>
      </c>
      <c r="G13" t="n">
        <v>9.6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HYPERLINK("https://klasma.github.io/Logging_1486/artfynd/A 17804-2021 artfynd.xlsx", "A 17804-2021")</f>
        <v/>
      </c>
      <c r="T13">
        <f>HYPERLINK("https://klasma.github.io/Logging_1486/kartor/A 17804-2021 karta.png", "A 17804-2021")</f>
        <v/>
      </c>
      <c r="V13">
        <f>HYPERLINK("https://klasma.github.io/Logging_1486/klagomål/A 17804-2021 FSC-klagomål.docx", "A 17804-2021")</f>
        <v/>
      </c>
      <c r="W13">
        <f>HYPERLINK("https://klasma.github.io/Logging_1486/klagomålsmail/A 17804-2021 FSC-klagomål mail.docx", "A 17804-2021")</f>
        <v/>
      </c>
      <c r="X13">
        <f>HYPERLINK("https://klasma.github.io/Logging_1486/tillsyn/A 17804-2021 tillsynsbegäran.docx", "A 17804-2021")</f>
        <v/>
      </c>
      <c r="Y13">
        <f>HYPERLINK("https://klasma.github.io/Logging_1486/tillsynsmail/A 17804-2021 tillsynsbegäran mail.docx", "A 17804-2021")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45988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9947-2021</t>
        </is>
      </c>
      <c r="B15" s="1" t="n">
        <v>44252</v>
      </c>
      <c r="C15" s="1" t="n">
        <v>45988</v>
      </c>
      <c r="D15" t="inlineStr">
        <is>
          <t>VÄSTRA GÖTALANDS LÄN</t>
        </is>
      </c>
      <c r="E15" t="inlineStr">
        <is>
          <t>STRÖMSTAD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9947-2021 artfynd.xlsx", "A 9947-2021")</f>
        <v/>
      </c>
      <c r="T15">
        <f>HYPERLINK("https://klasma.github.io/Logging_1486/kartor/A 9947-2021 karta.png", "A 9947-2021")</f>
        <v/>
      </c>
      <c r="U15">
        <f>HYPERLINK("https://klasma.github.io/Logging_1486/knärot/A 9947-2021 karta knärot.png", "A 9947-2021")</f>
        <v/>
      </c>
      <c r="V15">
        <f>HYPERLINK("https://klasma.github.io/Logging_1486/klagomål/A 9947-2021 FSC-klagomål.docx", "A 9947-2021")</f>
        <v/>
      </c>
      <c r="W15">
        <f>HYPERLINK("https://klasma.github.io/Logging_1486/klagomålsmail/A 9947-2021 FSC-klagomål mail.docx", "A 9947-2021")</f>
        <v/>
      </c>
      <c r="X15">
        <f>HYPERLINK("https://klasma.github.io/Logging_1486/tillsyn/A 9947-2021 tillsynsbegäran.docx", "A 9947-2021")</f>
        <v/>
      </c>
      <c r="Y15">
        <f>HYPERLINK("https://klasma.github.io/Logging_1486/tillsynsmail/A 9947-2021 tillsynsbegäran mail.docx", "A 9947-2021")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45988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45988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45988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64430-2020</t>
        </is>
      </c>
      <c r="B19" s="1" t="n">
        <v>44168</v>
      </c>
      <c r="C19" s="1" t="n">
        <v>45988</v>
      </c>
      <c r="D19" t="inlineStr">
        <is>
          <t>VÄSTRA GÖTALANDS LÄN</t>
        </is>
      </c>
      <c r="E19" t="inlineStr">
        <is>
          <t>STRÖMSTAD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14105-2022</t>
        </is>
      </c>
      <c r="B20" s="1" t="n">
        <v>44651</v>
      </c>
      <c r="C20" s="1" t="n">
        <v>45988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45988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45988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45988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45988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45988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45988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45988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45988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45988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45988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45988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64546-2020</t>
        </is>
      </c>
      <c r="B32" s="1" t="n">
        <v>44169.36200231482</v>
      </c>
      <c r="C32" s="1" t="n">
        <v>45988</v>
      </c>
      <c r="D32" t="inlineStr">
        <is>
          <t>VÄSTRA GÖTALANDS LÄN</t>
        </is>
      </c>
      <c r="E32" t="inlineStr">
        <is>
          <t>STRÖMSTAD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61896-2021</t>
        </is>
      </c>
      <c r="B33" s="1" t="n">
        <v>44499</v>
      </c>
      <c r="C33" s="1" t="n">
        <v>45988</v>
      </c>
      <c r="D33" t="inlineStr">
        <is>
          <t>VÄSTRA GÖTALANDS LÄN</t>
        </is>
      </c>
      <c r="E33" t="inlineStr">
        <is>
          <t>STRÖMSTAD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45988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68243-2021</t>
        </is>
      </c>
      <c r="B35" s="1" t="n">
        <v>44525</v>
      </c>
      <c r="C35" s="1" t="n">
        <v>45988</v>
      </c>
      <c r="D35" t="inlineStr">
        <is>
          <t>VÄSTRA GÖTALANDS LÄN</t>
        </is>
      </c>
      <c r="E35" t="inlineStr">
        <is>
          <t>STRÖMSTAD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50202-2021</t>
        </is>
      </c>
      <c r="B36" s="1" t="n">
        <v>44457</v>
      </c>
      <c r="C36" s="1" t="n">
        <v>45988</v>
      </c>
      <c r="D36" t="inlineStr">
        <is>
          <t>VÄSTRA GÖTALANDS LÄN</t>
        </is>
      </c>
      <c r="E36" t="inlineStr">
        <is>
          <t>STRÖMSTAD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7329-2022</t>
        </is>
      </c>
      <c r="B37" s="1" t="n">
        <v>44606</v>
      </c>
      <c r="C37" s="1" t="n">
        <v>45988</v>
      </c>
      <c r="D37" t="inlineStr">
        <is>
          <t>VÄSTRA GÖTALANDS LÄN</t>
        </is>
      </c>
      <c r="E37" t="inlineStr">
        <is>
          <t>STRÖMSTAD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45988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45988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45988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45988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45988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64020-2021</t>
        </is>
      </c>
      <c r="B43" s="1" t="n">
        <v>44510</v>
      </c>
      <c r="C43" s="1" t="n">
        <v>45988</v>
      </c>
      <c r="D43" t="inlineStr">
        <is>
          <t>VÄSTRA GÖTALANDS LÄN</t>
        </is>
      </c>
      <c r="E43" t="inlineStr">
        <is>
          <t>STRÖMSTAD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68392-2021</t>
        </is>
      </c>
      <c r="B44" s="1" t="n">
        <v>44526</v>
      </c>
      <c r="C44" s="1" t="n">
        <v>45988</v>
      </c>
      <c r="D44" t="inlineStr">
        <is>
          <t>VÄSTRA GÖTALANDS LÄN</t>
        </is>
      </c>
      <c r="E44" t="inlineStr">
        <is>
          <t>STRÖMSTAD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46724-2022</t>
        </is>
      </c>
      <c r="B45" s="1" t="n">
        <v>44851</v>
      </c>
      <c r="C45" s="1" t="n">
        <v>45988</v>
      </c>
      <c r="D45" t="inlineStr">
        <is>
          <t>VÄSTRA GÖTALANDS LÄN</t>
        </is>
      </c>
      <c r="E45" t="inlineStr">
        <is>
          <t>STRÖMSTAD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45988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45988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45988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1352-2021</t>
        </is>
      </c>
      <c r="B49" s="1" t="n">
        <v>44208</v>
      </c>
      <c r="C49" s="1" t="n">
        <v>45988</v>
      </c>
      <c r="D49" t="inlineStr">
        <is>
          <t>VÄSTRA GÖTALANDS LÄN</t>
        </is>
      </c>
      <c r="E49" t="inlineStr">
        <is>
          <t>STRÖMSTAD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45988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45988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45988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45988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20340-2022</t>
        </is>
      </c>
      <c r="B54" s="1" t="n">
        <v>44699</v>
      </c>
      <c r="C54" s="1" t="n">
        <v>45988</v>
      </c>
      <c r="D54" t="inlineStr">
        <is>
          <t>VÄSTRA GÖTALANDS LÄN</t>
        </is>
      </c>
      <c r="E54" t="inlineStr">
        <is>
          <t>STRÖMSTAD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70164-2021</t>
        </is>
      </c>
      <c r="B55" s="1" t="n">
        <v>44533</v>
      </c>
      <c r="C55" s="1" t="n">
        <v>45988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45988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45988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45988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45988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53761-2024</t>
        </is>
      </c>
      <c r="B60" s="1" t="n">
        <v>45615.50958333333</v>
      </c>
      <c r="C60" s="1" t="n">
        <v>45988</v>
      </c>
      <c r="D60" t="inlineStr">
        <is>
          <t>VÄSTRA GÖTALANDS LÄN</t>
        </is>
      </c>
      <c r="E60" t="inlineStr">
        <is>
          <t>STRÖMSTAD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3178-2024</t>
        </is>
      </c>
      <c r="B61" s="1" t="n">
        <v>45316</v>
      </c>
      <c r="C61" s="1" t="n">
        <v>45988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12945-2024</t>
        </is>
      </c>
      <c r="B62" s="1" t="n">
        <v>45385.47545138889</v>
      </c>
      <c r="C62" s="1" t="n">
        <v>45988</v>
      </c>
      <c r="D62" t="inlineStr">
        <is>
          <t>VÄSTRA GÖTALANDS LÄN</t>
        </is>
      </c>
      <c r="E62" t="inlineStr">
        <is>
          <t>STRÖMSTAD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61626-2024</t>
        </is>
      </c>
      <c r="B63" s="1" t="n">
        <v>45646.66194444444</v>
      </c>
      <c r="C63" s="1" t="n">
        <v>45988</v>
      </c>
      <c r="D63" t="inlineStr">
        <is>
          <t>VÄSTRA GÖTALANDS LÄN</t>
        </is>
      </c>
      <c r="E63" t="inlineStr">
        <is>
          <t>STRÖMSTAD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52262-2023</t>
        </is>
      </c>
      <c r="B64" s="1" t="n">
        <v>45217</v>
      </c>
      <c r="C64" s="1" t="n">
        <v>45988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45988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45988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45988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45988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44883-2021</t>
        </is>
      </c>
      <c r="B69" s="1" t="n">
        <v>44438.61731481482</v>
      </c>
      <c r="C69" s="1" t="n">
        <v>45988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12779-2025</t>
        </is>
      </c>
      <c r="B70" s="1" t="n">
        <v>45733.59574074074</v>
      </c>
      <c r="C70" s="1" t="n">
        <v>45988</v>
      </c>
      <c r="D70" t="inlineStr">
        <is>
          <t>VÄSTRA GÖTALANDS LÄN</t>
        </is>
      </c>
      <c r="E70" t="inlineStr">
        <is>
          <t>STRÖMSTAD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11931-2025</t>
        </is>
      </c>
      <c r="B71" s="1" t="n">
        <v>45728.5212962963</v>
      </c>
      <c r="C71" s="1" t="n">
        <v>45988</v>
      </c>
      <c r="D71" t="inlineStr">
        <is>
          <t>VÄSTRA GÖTALANDS LÄN</t>
        </is>
      </c>
      <c r="E71" t="inlineStr">
        <is>
          <t>STRÖMSTAD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14087-2025</t>
        </is>
      </c>
      <c r="B72" s="1" t="n">
        <v>45739</v>
      </c>
      <c r="C72" s="1" t="n">
        <v>45988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45988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9698-2025</t>
        </is>
      </c>
      <c r="B74" s="1" t="n">
        <v>45716.37402777778</v>
      </c>
      <c r="C74" s="1" t="n">
        <v>45988</v>
      </c>
      <c r="D74" t="inlineStr">
        <is>
          <t>VÄSTRA GÖTALANDS LÄN</t>
        </is>
      </c>
      <c r="E74" t="inlineStr">
        <is>
          <t>STRÖMSTAD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19492-2021</t>
        </is>
      </c>
      <c r="B75" s="1" t="n">
        <v>44312</v>
      </c>
      <c r="C75" s="1" t="n">
        <v>45988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9695-2025</t>
        </is>
      </c>
      <c r="B76" s="1" t="n">
        <v>45716.37232638889</v>
      </c>
      <c r="C76" s="1" t="n">
        <v>45988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45988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14079-2025</t>
        </is>
      </c>
      <c r="B78" s="1" t="n">
        <v>45739</v>
      </c>
      <c r="C78" s="1" t="n">
        <v>45988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11897-2025</t>
        </is>
      </c>
      <c r="B79" s="1" t="n">
        <v>45728.46913194445</v>
      </c>
      <c r="C79" s="1" t="n">
        <v>45988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24348-2025</t>
        </is>
      </c>
      <c r="B80" s="1" t="n">
        <v>45797</v>
      </c>
      <c r="C80" s="1" t="n">
        <v>45988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45988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29329-2024</t>
        </is>
      </c>
      <c r="B82" s="1" t="n">
        <v>45483.44387731481</v>
      </c>
      <c r="C82" s="1" t="n">
        <v>45988</v>
      </c>
      <c r="D82" t="inlineStr">
        <is>
          <t>VÄSTRA GÖTALANDS LÄN</t>
        </is>
      </c>
      <c r="E82" t="inlineStr">
        <is>
          <t>STRÖMSTAD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49554-2024</t>
        </is>
      </c>
      <c r="B83" s="1" t="n">
        <v>45596.4672337963</v>
      </c>
      <c r="C83" s="1" t="n">
        <v>45988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61252-2024</t>
        </is>
      </c>
      <c r="B84" s="1" t="n">
        <v>45645.69790509259</v>
      </c>
      <c r="C84" s="1" t="n">
        <v>45988</v>
      </c>
      <c r="D84" t="inlineStr">
        <is>
          <t>VÄSTRA GÖTALANDS LÄN</t>
        </is>
      </c>
      <c r="E84" t="inlineStr">
        <is>
          <t>STRÖMSTAD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40430-2025</t>
        </is>
      </c>
      <c r="B85" s="1" t="n">
        <v>45895</v>
      </c>
      <c r="C85" s="1" t="n">
        <v>45988</v>
      </c>
      <c r="D85" t="inlineStr">
        <is>
          <t>VÄSTRA GÖTALANDS LÄN</t>
        </is>
      </c>
      <c r="E85" t="inlineStr">
        <is>
          <t>STRÖMSTAD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39001-2024</t>
        </is>
      </c>
      <c r="B86" s="1" t="n">
        <v>45548.42012731481</v>
      </c>
      <c r="C86" s="1" t="n">
        <v>45988</v>
      </c>
      <c r="D86" t="inlineStr">
        <is>
          <t>VÄSTRA GÖTALANDS LÄN</t>
        </is>
      </c>
      <c r="E86" t="inlineStr">
        <is>
          <t>STRÖMSTAD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30701-2022</t>
        </is>
      </c>
      <c r="B87" s="1" t="n">
        <v>44763</v>
      </c>
      <c r="C87" s="1" t="n">
        <v>45988</v>
      </c>
      <c r="D87" t="inlineStr">
        <is>
          <t>VÄSTRA GÖTALANDS LÄN</t>
        </is>
      </c>
      <c r="E87" t="inlineStr">
        <is>
          <t>STRÖMSTAD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37092-2024</t>
        </is>
      </c>
      <c r="B88" s="1" t="n">
        <v>45539.49989583333</v>
      </c>
      <c r="C88" s="1" t="n">
        <v>45988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40652-2024</t>
        </is>
      </c>
      <c r="B89" s="1" t="n">
        <v>45557</v>
      </c>
      <c r="C89" s="1" t="n">
        <v>45988</v>
      </c>
      <c r="D89" t="inlineStr">
        <is>
          <t>VÄSTRA GÖTALANDS LÄN</t>
        </is>
      </c>
      <c r="E89" t="inlineStr">
        <is>
          <t>STRÖMSTAD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45988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45988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50797-2025</t>
        </is>
      </c>
      <c r="B92" s="1" t="n">
        <v>45946.48350694445</v>
      </c>
      <c r="C92" s="1" t="n">
        <v>45988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45988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13890-2022</t>
        </is>
      </c>
      <c r="B94" s="1" t="n">
        <v>44649</v>
      </c>
      <c r="C94" s="1" t="n">
        <v>45988</v>
      </c>
      <c r="D94" t="inlineStr">
        <is>
          <t>VÄSTRA GÖTALANDS LÄN</t>
        </is>
      </c>
      <c r="E94" t="inlineStr">
        <is>
          <t>STRÖMSTAD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52950-2022</t>
        </is>
      </c>
      <c r="B95" s="1" t="n">
        <v>44875.65717592592</v>
      </c>
      <c r="C95" s="1" t="n">
        <v>45988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40369-2024</t>
        </is>
      </c>
      <c r="B96" s="1" t="n">
        <v>45555.39053240741</v>
      </c>
      <c r="C96" s="1" t="n">
        <v>45988</v>
      </c>
      <c r="D96" t="inlineStr">
        <is>
          <t>VÄSTRA GÖTALANDS LÄN</t>
        </is>
      </c>
      <c r="E96" t="inlineStr">
        <is>
          <t>STRÖMSTAD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42823-2025</t>
        </is>
      </c>
      <c r="B97" s="1" t="n">
        <v>45908.57429398148</v>
      </c>
      <c r="C97" s="1" t="n">
        <v>45988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51432-2025</t>
        </is>
      </c>
      <c r="B98" s="1" t="n">
        <v>45949</v>
      </c>
      <c r="C98" s="1" t="n">
        <v>45988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44529-2023</t>
        </is>
      </c>
      <c r="B99" s="1" t="n">
        <v>45189</v>
      </c>
      <c r="C99" s="1" t="n">
        <v>45988</v>
      </c>
      <c r="D99" t="inlineStr">
        <is>
          <t>VÄSTRA GÖTALANDS LÄN</t>
        </is>
      </c>
      <c r="E99" t="inlineStr">
        <is>
          <t>STRÖMSTAD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42736-2025</t>
        </is>
      </c>
      <c r="B100" s="1" t="n">
        <v>45908</v>
      </c>
      <c r="C100" s="1" t="n">
        <v>45988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51427-2025</t>
        </is>
      </c>
      <c r="B101" s="1" t="n">
        <v>45949</v>
      </c>
      <c r="C101" s="1" t="n">
        <v>45988</v>
      </c>
      <c r="D101" t="inlineStr">
        <is>
          <t>VÄSTRA GÖTALANDS LÄN</t>
        </is>
      </c>
      <c r="E101" t="inlineStr">
        <is>
          <t>STRÖMSTAD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57989-2022</t>
        </is>
      </c>
      <c r="B102" s="1" t="n">
        <v>44892</v>
      </c>
      <c r="C102" s="1" t="n">
        <v>45988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51429-2025</t>
        </is>
      </c>
      <c r="B103" s="1" t="n">
        <v>45949</v>
      </c>
      <c r="C103" s="1" t="n">
        <v>45988</v>
      </c>
      <c r="D103" t="inlineStr">
        <is>
          <t>VÄSTRA GÖTALANDS LÄN</t>
        </is>
      </c>
      <c r="E103" t="inlineStr">
        <is>
          <t>STRÖMSTAD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28586-2025</t>
        </is>
      </c>
      <c r="B104" s="1" t="n">
        <v>45819.5812037037</v>
      </c>
      <c r="C104" s="1" t="n">
        <v>45988</v>
      </c>
      <c r="D104" t="inlineStr">
        <is>
          <t>VÄSTRA GÖTALANDS LÄN</t>
        </is>
      </c>
      <c r="E104" t="inlineStr">
        <is>
          <t>STRÖMSTAD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16216-2025</t>
        </is>
      </c>
      <c r="B105" s="1" t="n">
        <v>45750.63079861111</v>
      </c>
      <c r="C105" s="1" t="n">
        <v>45988</v>
      </c>
      <c r="D105" t="inlineStr">
        <is>
          <t>VÄSTRA GÖTALANDS LÄN</t>
        </is>
      </c>
      <c r="E105" t="inlineStr">
        <is>
          <t>STRÖMSTAD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55733-2023</t>
        </is>
      </c>
      <c r="B106" s="1" t="n">
        <v>45232</v>
      </c>
      <c r="C106" s="1" t="n">
        <v>45988</v>
      </c>
      <c r="D106" t="inlineStr">
        <is>
          <t>VÄSTRA GÖTALANDS LÄN</t>
        </is>
      </c>
      <c r="E106" t="inlineStr">
        <is>
          <t>STRÖMSTAD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35113-2021</t>
        </is>
      </c>
      <c r="B107" s="1" t="n">
        <v>44384.37240740741</v>
      </c>
      <c r="C107" s="1" t="n">
        <v>45988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29308-2025</t>
        </is>
      </c>
      <c r="B108" s="1" t="n">
        <v>45824.46103009259</v>
      </c>
      <c r="C108" s="1" t="n">
        <v>45988</v>
      </c>
      <c r="D108" t="inlineStr">
        <is>
          <t>VÄSTRA GÖTALANDS LÄN</t>
        </is>
      </c>
      <c r="E108" t="inlineStr">
        <is>
          <t>STRÖMSTAD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43550-2025</t>
        </is>
      </c>
      <c r="B109" s="1" t="n">
        <v>45911.61836805556</v>
      </c>
      <c r="C109" s="1" t="n">
        <v>45988</v>
      </c>
      <c r="D109" t="inlineStr">
        <is>
          <t>VÄSTRA GÖTALANDS LÄN</t>
        </is>
      </c>
      <c r="E109" t="inlineStr">
        <is>
          <t>STRÖMSTAD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29300-2025</t>
        </is>
      </c>
      <c r="B110" s="1" t="n">
        <v>45824.45552083333</v>
      </c>
      <c r="C110" s="1" t="n">
        <v>45988</v>
      </c>
      <c r="D110" t="inlineStr">
        <is>
          <t>VÄSTRA GÖTALANDS LÄN</t>
        </is>
      </c>
      <c r="E110" t="inlineStr">
        <is>
          <t>STRÖMSTAD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42239-2024</t>
        </is>
      </c>
      <c r="B111" s="1" t="n">
        <v>45562.56358796296</v>
      </c>
      <c r="C111" s="1" t="n">
        <v>45988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9590-2021</t>
        </is>
      </c>
      <c r="B112" s="1" t="n">
        <v>44251</v>
      </c>
      <c r="C112" s="1" t="n">
        <v>45988</v>
      </c>
      <c r="D112" t="inlineStr">
        <is>
          <t>VÄSTRA GÖTALANDS LÄN</t>
        </is>
      </c>
      <c r="E112" t="inlineStr">
        <is>
          <t>STRÖMSTAD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52833-2025</t>
        </is>
      </c>
      <c r="B113" s="1" t="n">
        <v>45957.47081018519</v>
      </c>
      <c r="C113" s="1" t="n">
        <v>45988</v>
      </c>
      <c r="D113" t="inlineStr">
        <is>
          <t>VÄSTRA GÖTALANDS LÄN</t>
        </is>
      </c>
      <c r="E113" t="inlineStr">
        <is>
          <t>STRÖMSTAD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52852-2024</t>
        </is>
      </c>
      <c r="B114" s="1" t="n">
        <v>45610.60664351852</v>
      </c>
      <c r="C114" s="1" t="n">
        <v>45988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25884-2023</t>
        </is>
      </c>
      <c r="B115" s="1" t="n">
        <v>45085</v>
      </c>
      <c r="C115" s="1" t="n">
        <v>45988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31917-2025</t>
        </is>
      </c>
      <c r="B116" s="1" t="n">
        <v>45834</v>
      </c>
      <c r="C116" s="1" t="n">
        <v>45988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44319-2025</t>
        </is>
      </c>
      <c r="B117" s="1" t="n">
        <v>45916</v>
      </c>
      <c r="C117" s="1" t="n">
        <v>45988</v>
      </c>
      <c r="D117" t="inlineStr">
        <is>
          <t>VÄSTRA GÖTALANDS LÄN</t>
        </is>
      </c>
      <c r="E117" t="inlineStr">
        <is>
          <t>STRÖMSTAD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50603-2024</t>
        </is>
      </c>
      <c r="B118" s="1" t="n">
        <v>45600</v>
      </c>
      <c r="C118" s="1" t="n">
        <v>45988</v>
      </c>
      <c r="D118" t="inlineStr">
        <is>
          <t>VÄSTRA GÖTALANDS LÄN</t>
        </is>
      </c>
      <c r="E118" t="inlineStr">
        <is>
          <t>STRÖMSTAD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33559-2025</t>
        </is>
      </c>
      <c r="B119" s="1" t="n">
        <v>45841.57549768518</v>
      </c>
      <c r="C119" s="1" t="n">
        <v>45988</v>
      </c>
      <c r="D119" t="inlineStr">
        <is>
          <t>VÄSTRA GÖTALANDS LÄN</t>
        </is>
      </c>
      <c r="E119" t="inlineStr">
        <is>
          <t>STRÖMSTAD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33566-2025</t>
        </is>
      </c>
      <c r="B120" s="1" t="n">
        <v>45841.58208333333</v>
      </c>
      <c r="C120" s="1" t="n">
        <v>45988</v>
      </c>
      <c r="D120" t="inlineStr">
        <is>
          <t>VÄSTRA GÖTALANDS LÄN</t>
        </is>
      </c>
      <c r="E120" t="inlineStr">
        <is>
          <t>STRÖMSTAD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33560-2025</t>
        </is>
      </c>
      <c r="B121" s="1" t="n">
        <v>45841.57739583333</v>
      </c>
      <c r="C121" s="1" t="n">
        <v>45988</v>
      </c>
      <c r="D121" t="inlineStr">
        <is>
          <t>VÄSTRA GÖTALANDS LÄN</t>
        </is>
      </c>
      <c r="E121" t="inlineStr">
        <is>
          <t>STRÖMSTAD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33564-2025</t>
        </is>
      </c>
      <c r="B122" s="1" t="n">
        <v>45841.57973379629</v>
      </c>
      <c r="C122" s="1" t="n">
        <v>45988</v>
      </c>
      <c r="D122" t="inlineStr">
        <is>
          <t>VÄSTRA GÖTALANDS LÄN</t>
        </is>
      </c>
      <c r="E122" t="inlineStr">
        <is>
          <t>STRÖMSTAD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33569-2025</t>
        </is>
      </c>
      <c r="B123" s="1" t="n">
        <v>45841.58334490741</v>
      </c>
      <c r="C123" s="1" t="n">
        <v>45988</v>
      </c>
      <c r="D123" t="inlineStr">
        <is>
          <t>VÄSTRA GÖTALANDS LÄN</t>
        </is>
      </c>
      <c r="E123" t="inlineStr">
        <is>
          <t>STRÖMSTAD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33586-2025</t>
        </is>
      </c>
      <c r="B124" s="1" t="n">
        <v>45841.59465277778</v>
      </c>
      <c r="C124" s="1" t="n">
        <v>45988</v>
      </c>
      <c r="D124" t="inlineStr">
        <is>
          <t>VÄSTRA GÖTALANDS LÄN</t>
        </is>
      </c>
      <c r="E124" t="inlineStr">
        <is>
          <t>STRÖMSTAD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33555-2025</t>
        </is>
      </c>
      <c r="B125" s="1" t="n">
        <v>45841.57423611111</v>
      </c>
      <c r="C125" s="1" t="n">
        <v>45988</v>
      </c>
      <c r="D125" t="inlineStr">
        <is>
          <t>VÄSTRA GÖTALANDS LÄN</t>
        </is>
      </c>
      <c r="E125" t="inlineStr">
        <is>
          <t>STRÖMSTAD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33536-2025</t>
        </is>
      </c>
      <c r="B126" s="1" t="n">
        <v>45841.55890046297</v>
      </c>
      <c r="C126" s="1" t="n">
        <v>45988</v>
      </c>
      <c r="D126" t="inlineStr">
        <is>
          <t>VÄSTRA GÖTALANDS LÄN</t>
        </is>
      </c>
      <c r="E126" t="inlineStr">
        <is>
          <t>STRÖMSTAD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33580-2025</t>
        </is>
      </c>
      <c r="B127" s="1" t="n">
        <v>45841.59407407408</v>
      </c>
      <c r="C127" s="1" t="n">
        <v>45988</v>
      </c>
      <c r="D127" t="inlineStr">
        <is>
          <t>VÄSTRA GÖTALANDS LÄN</t>
        </is>
      </c>
      <c r="E127" t="inlineStr">
        <is>
          <t>STRÖMSTAD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26277-2025</t>
        </is>
      </c>
      <c r="B128" s="1" t="n">
        <v>45805.60436342593</v>
      </c>
      <c r="C128" s="1" t="n">
        <v>45988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45540-2025</t>
        </is>
      </c>
      <c r="B129" s="1" t="n">
        <v>45922.61466435185</v>
      </c>
      <c r="C129" s="1" t="n">
        <v>45988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20476-2023</t>
        </is>
      </c>
      <c r="B130" s="1" t="n">
        <v>45057.34075231481</v>
      </c>
      <c r="C130" s="1" t="n">
        <v>45988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54126-2025</t>
        </is>
      </c>
      <c r="B131" s="1" t="n">
        <v>45964.45715277778</v>
      </c>
      <c r="C131" s="1" t="n">
        <v>45988</v>
      </c>
      <c r="D131" t="inlineStr">
        <is>
          <t>VÄSTRA GÖTALANDS LÄN</t>
        </is>
      </c>
      <c r="E131" t="inlineStr">
        <is>
          <t>STRÖMSTAD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15667-2024</t>
        </is>
      </c>
      <c r="B132" s="1" t="n">
        <v>45404</v>
      </c>
      <c r="C132" s="1" t="n">
        <v>45988</v>
      </c>
      <c r="D132" t="inlineStr">
        <is>
          <t>VÄSTRA GÖTALANDS LÄN</t>
        </is>
      </c>
      <c r="E132" t="inlineStr">
        <is>
          <t>STRÖMSTAD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50401-2021</t>
        </is>
      </c>
      <c r="B133" s="1" t="n">
        <v>44459</v>
      </c>
      <c r="C133" s="1" t="n">
        <v>45988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56024-2023</t>
        </is>
      </c>
      <c r="B134" s="1" t="n">
        <v>45240</v>
      </c>
      <c r="C134" s="1" t="n">
        <v>45988</v>
      </c>
      <c r="D134" t="inlineStr">
        <is>
          <t>VÄSTRA GÖTALANDS LÄN</t>
        </is>
      </c>
      <c r="E134" t="inlineStr">
        <is>
          <t>STRÖMSTAD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50601-2024</t>
        </is>
      </c>
      <c r="B135" s="1" t="n">
        <v>45600</v>
      </c>
      <c r="C135" s="1" t="n">
        <v>45988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46907-2025</t>
        </is>
      </c>
      <c r="B136" s="1" t="n">
        <v>45929.40480324074</v>
      </c>
      <c r="C136" s="1" t="n">
        <v>45988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41991-2022</t>
        </is>
      </c>
      <c r="B137" s="1" t="n">
        <v>44830.44231481481</v>
      </c>
      <c r="C137" s="1" t="n">
        <v>45988</v>
      </c>
      <c r="D137" t="inlineStr">
        <is>
          <t>VÄSTRA GÖTALANDS LÄN</t>
        </is>
      </c>
      <c r="E137" t="inlineStr">
        <is>
          <t>STRÖMSTAD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64707-2023</t>
        </is>
      </c>
      <c r="B138" s="1" t="n">
        <v>45281</v>
      </c>
      <c r="C138" s="1" t="n">
        <v>45988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HYPERLINK("https://klasma.github.io/Logging_1486/knärot/A 64707-2023 karta knärot.png", "A 64707-2023")</f>
        <v/>
      </c>
      <c r="V138">
        <f>HYPERLINK("https://klasma.github.io/Logging_1486/klagomål/A 64707-2023 FSC-klagomål.docx", "A 64707-2023")</f>
        <v/>
      </c>
      <c r="W138">
        <f>HYPERLINK("https://klasma.github.io/Logging_1486/klagomålsmail/A 64707-2023 FSC-klagomål mail.docx", "A 64707-2023")</f>
        <v/>
      </c>
      <c r="X138">
        <f>HYPERLINK("https://klasma.github.io/Logging_1486/tillsyn/A 64707-2023 tillsynsbegäran.docx", "A 64707-2023")</f>
        <v/>
      </c>
      <c r="Y138">
        <f>HYPERLINK("https://klasma.github.io/Logging_1486/tillsynsmail/A 64707-2023 tillsynsbegäran mail.docx", "A 64707-2023")</f>
        <v/>
      </c>
    </row>
    <row r="139" ht="15" customHeight="1">
      <c r="A139" t="inlineStr">
        <is>
          <t>A 3187-2024</t>
        </is>
      </c>
      <c r="B139" s="1" t="n">
        <v>45316.65596064815</v>
      </c>
      <c r="C139" s="1" t="n">
        <v>45988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16223-2025</t>
        </is>
      </c>
      <c r="B140" s="1" t="n">
        <v>45750.63945601852</v>
      </c>
      <c r="C140" s="1" t="n">
        <v>45988</v>
      </c>
      <c r="D140" t="inlineStr">
        <is>
          <t>VÄSTRA GÖTALANDS LÄN</t>
        </is>
      </c>
      <c r="E140" t="inlineStr">
        <is>
          <t>STRÖMSTAD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55830-2025</t>
        </is>
      </c>
      <c r="B141" s="1" t="n">
        <v>45972</v>
      </c>
      <c r="C141" s="1" t="n">
        <v>45988</v>
      </c>
      <c r="D141" t="inlineStr">
        <is>
          <t>VÄSTRA GÖTALANDS LÄN</t>
        </is>
      </c>
      <c r="E141" t="inlineStr">
        <is>
          <t>STRÖMSTAD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46371-2022</t>
        </is>
      </c>
      <c r="B142" s="1" t="n">
        <v>44848</v>
      </c>
      <c r="C142" s="1" t="n">
        <v>45988</v>
      </c>
      <c r="D142" t="inlineStr">
        <is>
          <t>VÄSTRA GÖTALANDS LÄN</t>
        </is>
      </c>
      <c r="E142" t="inlineStr">
        <is>
          <t>STRÖMSTAD</t>
        </is>
      </c>
      <c r="F142" t="inlineStr">
        <is>
          <t>Kommuner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37311-2025</t>
        </is>
      </c>
      <c r="B143" s="1" t="n">
        <v>45876.59644675926</v>
      </c>
      <c r="C143" s="1" t="n">
        <v>45988</v>
      </c>
      <c r="D143" t="inlineStr">
        <is>
          <t>VÄSTRA GÖTALANDS LÄN</t>
        </is>
      </c>
      <c r="E143" t="inlineStr">
        <is>
          <t>STRÖMSTAD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59383-2024</t>
        </is>
      </c>
      <c r="B144" s="1" t="n">
        <v>45638.35758101852</v>
      </c>
      <c r="C144" s="1" t="n">
        <v>45988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33745-2023</t>
        </is>
      </c>
      <c r="B145" s="1" t="n">
        <v>45133.39075231482</v>
      </c>
      <c r="C145" s="1" t="n">
        <v>45988</v>
      </c>
      <c r="D145" t="inlineStr">
        <is>
          <t>VÄSTRA GÖTALANDS LÄN</t>
        </is>
      </c>
      <c r="E145" t="inlineStr">
        <is>
          <t>STRÖMSTAD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56208-2025</t>
        </is>
      </c>
      <c r="B146" s="1" t="n">
        <v>45974.47333333334</v>
      </c>
      <c r="C146" s="1" t="n">
        <v>45988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56211-2025</t>
        </is>
      </c>
      <c r="B147" s="1" t="n">
        <v>45974.47729166667</v>
      </c>
      <c r="C147" s="1" t="n">
        <v>45988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47882-2025</t>
        </is>
      </c>
      <c r="B148" s="1" t="n">
        <v>45932.46203703704</v>
      </c>
      <c r="C148" s="1" t="n">
        <v>45988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56196-2025</t>
        </is>
      </c>
      <c r="B149" s="1" t="n">
        <v>45974.45112268518</v>
      </c>
      <c r="C149" s="1" t="n">
        <v>45988</v>
      </c>
      <c r="D149" t="inlineStr">
        <is>
          <t>VÄSTRA GÖTALANDS LÄN</t>
        </is>
      </c>
      <c r="E149" t="inlineStr">
        <is>
          <t>STRÖMSTAD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17525-2025</t>
        </is>
      </c>
      <c r="B150" s="1" t="n">
        <v>45757.5817824074</v>
      </c>
      <c r="C150" s="1" t="n">
        <v>45988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28430-2024</t>
        </is>
      </c>
      <c r="B151" s="1" t="n">
        <v>45477</v>
      </c>
      <c r="C151" s="1" t="n">
        <v>45988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53485-2023</t>
        </is>
      </c>
      <c r="B152" s="1" t="n">
        <v>45230</v>
      </c>
      <c r="C152" s="1" t="n">
        <v>45988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5326-2024</t>
        </is>
      </c>
      <c r="B153" s="1" t="n">
        <v>45331.41356481481</v>
      </c>
      <c r="C153" s="1" t="n">
        <v>45988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10764-2024</t>
        </is>
      </c>
      <c r="B154" s="1" t="n">
        <v>45369.56681712963</v>
      </c>
      <c r="C154" s="1" t="n">
        <v>45988</v>
      </c>
      <c r="D154" t="inlineStr">
        <is>
          <t>VÄSTRA GÖTALANDS LÄN</t>
        </is>
      </c>
      <c r="E154" t="inlineStr">
        <is>
          <t>STRÖMSTAD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48688-2025</t>
        </is>
      </c>
      <c r="B155" s="1" t="n">
        <v>45936.60555555556</v>
      </c>
      <c r="C155" s="1" t="n">
        <v>45988</v>
      </c>
      <c r="D155" t="inlineStr">
        <is>
          <t>VÄSTRA GÖTALANDS LÄN</t>
        </is>
      </c>
      <c r="E155" t="inlineStr">
        <is>
          <t>STRÖMSTAD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2982-2025</t>
        </is>
      </c>
      <c r="B156" s="1" t="n">
        <v>45678.51011574074</v>
      </c>
      <c r="C156" s="1" t="n">
        <v>45988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60768-2022</t>
        </is>
      </c>
      <c r="B157" s="1" t="n">
        <v>44907</v>
      </c>
      <c r="C157" s="1" t="n">
        <v>45988</v>
      </c>
      <c r="D157" t="inlineStr">
        <is>
          <t>VÄSTRA GÖTALANDS LÄN</t>
        </is>
      </c>
      <c r="E157" t="inlineStr">
        <is>
          <t>STRÖMSTAD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57663-2025</t>
        </is>
      </c>
      <c r="B158" s="1" t="n">
        <v>45981.42303240741</v>
      </c>
      <c r="C158" s="1" t="n">
        <v>45988</v>
      </c>
      <c r="D158" t="inlineStr">
        <is>
          <t>VÄSTRA GÖTALANDS LÄN</t>
        </is>
      </c>
      <c r="E158" t="inlineStr">
        <is>
          <t>STRÖMSTAD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58226-2025</t>
        </is>
      </c>
      <c r="B159" s="1" t="n">
        <v>45985.37508101852</v>
      </c>
      <c r="C159" s="1" t="n">
        <v>45988</v>
      </c>
      <c r="D159" t="inlineStr">
        <is>
          <t>VÄSTRA GÖTALANDS LÄN</t>
        </is>
      </c>
      <c r="E159" t="inlineStr">
        <is>
          <t>STRÖMSTAD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58251-2025</t>
        </is>
      </c>
      <c r="B160" s="1" t="n">
        <v>45985.39645833334</v>
      </c>
      <c r="C160" s="1" t="n">
        <v>45988</v>
      </c>
      <c r="D160" t="inlineStr">
        <is>
          <t>VÄSTRA GÖTALANDS LÄN</t>
        </is>
      </c>
      <c r="E160" t="inlineStr">
        <is>
          <t>STRÖMSTAD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20888-2022</t>
        </is>
      </c>
      <c r="B161" s="1" t="n">
        <v>44701</v>
      </c>
      <c r="C161" s="1" t="n">
        <v>45988</v>
      </c>
      <c r="D161" t="inlineStr">
        <is>
          <t>VÄSTRA GÖTALANDS LÄN</t>
        </is>
      </c>
      <c r="E161" t="inlineStr">
        <is>
          <t>STRÖMSTAD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45988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50057-2025</t>
        </is>
      </c>
      <c r="B163" s="1" t="n">
        <v>45942</v>
      </c>
      <c r="C163" s="1" t="n">
        <v>45988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50626-2025</t>
        </is>
      </c>
      <c r="B164" s="1" t="n">
        <v>45945.63623842593</v>
      </c>
      <c r="C164" s="1" t="n">
        <v>45988</v>
      </c>
      <c r="D164" t="inlineStr">
        <is>
          <t>VÄSTRA GÖTALANDS LÄN</t>
        </is>
      </c>
      <c r="E164" t="inlineStr">
        <is>
          <t>STRÖMSTAD</t>
        </is>
      </c>
      <c r="F164" t="inlineStr">
        <is>
          <t>Övriga Aktiebolag</t>
        </is>
      </c>
      <c r="G164" t="n">
        <v>14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50432-2025</t>
        </is>
      </c>
      <c r="B165" s="1" t="n">
        <v>45944.69248842593</v>
      </c>
      <c r="C165" s="1" t="n">
        <v>45988</v>
      </c>
      <c r="D165" t="inlineStr">
        <is>
          <t>VÄSTRA GÖTALANDS LÄN</t>
        </is>
      </c>
      <c r="E165" t="inlineStr">
        <is>
          <t>STRÖMSTAD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50437-2025</t>
        </is>
      </c>
      <c r="B166" s="1" t="n">
        <v>45944.71523148148</v>
      </c>
      <c r="C166" s="1" t="n">
        <v>45988</v>
      </c>
      <c r="D166" t="inlineStr">
        <is>
          <t>VÄSTRA GÖTALANDS LÄN</t>
        </is>
      </c>
      <c r="E166" t="inlineStr">
        <is>
          <t>STRÖMSTAD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8291-2023</t>
        </is>
      </c>
      <c r="B167" s="1" t="n">
        <v>44974</v>
      </c>
      <c r="C167" s="1" t="n">
        <v>45988</v>
      </c>
      <c r="D167" t="inlineStr">
        <is>
          <t>VÄSTRA GÖTALANDS LÄN</t>
        </is>
      </c>
      <c r="E167" t="inlineStr">
        <is>
          <t>STRÖMSTAD</t>
        </is>
      </c>
      <c r="G167" t="n">
        <v>17.3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50579-2025</t>
        </is>
      </c>
      <c r="B168" s="1" t="n">
        <v>45945.58449074074</v>
      </c>
      <c r="C168" s="1" t="n">
        <v>45988</v>
      </c>
      <c r="D168" t="inlineStr">
        <is>
          <t>VÄSTRA GÖTALANDS LÄN</t>
        </is>
      </c>
      <c r="E168" t="inlineStr">
        <is>
          <t>STRÖMSTAD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50589-2025</t>
        </is>
      </c>
      <c r="B169" s="1" t="n">
        <v>45945.600625</v>
      </c>
      <c r="C169" s="1" t="n">
        <v>45988</v>
      </c>
      <c r="D169" t="inlineStr">
        <is>
          <t>VÄSTRA GÖTALANDS LÄN</t>
        </is>
      </c>
      <c r="E169" t="inlineStr">
        <is>
          <t>STRÖMSTAD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50606-2025</t>
        </is>
      </c>
      <c r="B170" s="1" t="n">
        <v>45945.6171412037</v>
      </c>
      <c r="C170" s="1" t="n">
        <v>45988</v>
      </c>
      <c r="D170" t="inlineStr">
        <is>
          <t>VÄSTRA GÖTALANDS LÄN</t>
        </is>
      </c>
      <c r="E170" t="inlineStr">
        <is>
          <t>STRÖMSTAD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50607-2025</t>
        </is>
      </c>
      <c r="B171" s="1" t="n">
        <v>45945.61997685185</v>
      </c>
      <c r="C171" s="1" t="n">
        <v>45988</v>
      </c>
      <c r="D171" t="inlineStr">
        <is>
          <t>VÄSTRA GÖTALANDS LÄN</t>
        </is>
      </c>
      <c r="E171" t="inlineStr">
        <is>
          <t>STRÖMSTAD</t>
        </is>
      </c>
      <c r="G171" t="n">
        <v>14.5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45617-2024</t>
        </is>
      </c>
      <c r="B172" s="1" t="n">
        <v>45579.45523148148</v>
      </c>
      <c r="C172" s="1" t="n">
        <v>45988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50578-2025</t>
        </is>
      </c>
      <c r="B173" s="1" t="n">
        <v>45945.58215277778</v>
      </c>
      <c r="C173" s="1" t="n">
        <v>45988</v>
      </c>
      <c r="D173" t="inlineStr">
        <is>
          <t>VÄSTRA GÖTALANDS LÄN</t>
        </is>
      </c>
      <c r="E173" t="inlineStr">
        <is>
          <t>STRÖMSTAD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9983-2022</t>
        </is>
      </c>
      <c r="B174" s="1" t="n">
        <v>44621.43550925926</v>
      </c>
      <c r="C174" s="1" t="n">
        <v>45988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33131-2023</t>
        </is>
      </c>
      <c r="B175" s="1" t="n">
        <v>45126</v>
      </c>
      <c r="C175" s="1" t="n">
        <v>45988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24514-2024</t>
        </is>
      </c>
      <c r="B176" s="1" t="n">
        <v>45458</v>
      </c>
      <c r="C176" s="1" t="n">
        <v>45988</v>
      </c>
      <c r="D176" t="inlineStr">
        <is>
          <t>VÄSTRA GÖTALANDS LÄN</t>
        </is>
      </c>
      <c r="E176" t="inlineStr">
        <is>
          <t>STRÖMSTAD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31388-2022</t>
        </is>
      </c>
      <c r="B177" s="1" t="n">
        <v>44774.62195601852</v>
      </c>
      <c r="C177" s="1" t="n">
        <v>45988</v>
      </c>
      <c r="D177" t="inlineStr">
        <is>
          <t>VÄSTRA GÖTALANDS LÄN</t>
        </is>
      </c>
      <c r="E177" t="inlineStr">
        <is>
          <t>STRÖMSTAD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29195-2024</t>
        </is>
      </c>
      <c r="B178" s="1" t="n">
        <v>45482</v>
      </c>
      <c r="C178" s="1" t="n">
        <v>45988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994-2024</t>
        </is>
      </c>
      <c r="B179" s="1" t="n">
        <v>45301.62427083333</v>
      </c>
      <c r="C179" s="1" t="n">
        <v>45988</v>
      </c>
      <c r="D179" t="inlineStr">
        <is>
          <t>VÄSTRA GÖTALANDS LÄN</t>
        </is>
      </c>
      <c r="E179" t="inlineStr">
        <is>
          <t>STRÖMSTAD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44408-2021</t>
        </is>
      </c>
      <c r="B180" s="1" t="n">
        <v>44435</v>
      </c>
      <c r="C180" s="1" t="n">
        <v>45988</v>
      </c>
      <c r="D180" t="inlineStr">
        <is>
          <t>VÄSTRA GÖTALANDS LÄN</t>
        </is>
      </c>
      <c r="E180" t="inlineStr">
        <is>
          <t>STRÖMSTAD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10457-2023</t>
        </is>
      </c>
      <c r="B181" s="1" t="n">
        <v>44987</v>
      </c>
      <c r="C181" s="1" t="n">
        <v>45988</v>
      </c>
      <c r="D181" t="inlineStr">
        <is>
          <t>VÄSTRA GÖTALANDS LÄN</t>
        </is>
      </c>
      <c r="E181" t="inlineStr">
        <is>
          <t>STRÖMSTAD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50034-2022</t>
        </is>
      </c>
      <c r="B182" s="1" t="n">
        <v>44865.45782407407</v>
      </c>
      <c r="C182" s="1" t="n">
        <v>45988</v>
      </c>
      <c r="D182" t="inlineStr">
        <is>
          <t>VÄSTRA GÖTALANDS LÄN</t>
        </is>
      </c>
      <c r="E182" t="inlineStr">
        <is>
          <t>STRÖMSTAD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57768-2022</t>
        </is>
      </c>
      <c r="B183" s="1" t="n">
        <v>44892</v>
      </c>
      <c r="C183" s="1" t="n">
        <v>45988</v>
      </c>
      <c r="D183" t="inlineStr">
        <is>
          <t>VÄSTRA GÖTALANDS LÄN</t>
        </is>
      </c>
      <c r="E183" t="inlineStr">
        <is>
          <t>STRÖMSTAD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45988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16363-2024</t>
        </is>
      </c>
      <c r="B185" s="1" t="n">
        <v>45407.59325231481</v>
      </c>
      <c r="C185" s="1" t="n">
        <v>45988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15704-2025</t>
        </is>
      </c>
      <c r="B186" s="1" t="n">
        <v>45748.4815162037</v>
      </c>
      <c r="C186" s="1" t="n">
        <v>45988</v>
      </c>
      <c r="D186" t="inlineStr">
        <is>
          <t>VÄSTRA GÖTALANDS LÄN</t>
        </is>
      </c>
      <c r="E186" t="inlineStr">
        <is>
          <t>STRÖMSTAD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72625-2021</t>
        </is>
      </c>
      <c r="B187" s="1" t="n">
        <v>44546.55005787037</v>
      </c>
      <c r="C187" s="1" t="n">
        <v>45988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6043-2024</t>
        </is>
      </c>
      <c r="B188" s="1" t="n">
        <v>45336</v>
      </c>
      <c r="C188" s="1" t="n">
        <v>45988</v>
      </c>
      <c r="D188" t="inlineStr">
        <is>
          <t>VÄSTRA GÖTALANDS LÄN</t>
        </is>
      </c>
      <c r="E188" t="inlineStr">
        <is>
          <t>STRÖMSTAD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19134-2025</t>
        </is>
      </c>
      <c r="B189" s="1" t="n">
        <v>45764</v>
      </c>
      <c r="C189" s="1" t="n">
        <v>45988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33118-2023</t>
        </is>
      </c>
      <c r="B190" s="1" t="n">
        <v>45126.59351851852</v>
      </c>
      <c r="C190" s="1" t="n">
        <v>45988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38988-2024</t>
        </is>
      </c>
      <c r="B191" s="1" t="n">
        <v>45548.40613425926</v>
      </c>
      <c r="C191" s="1" t="n">
        <v>45988</v>
      </c>
      <c r="D191" t="inlineStr">
        <is>
          <t>VÄSTRA GÖTALANDS LÄN</t>
        </is>
      </c>
      <c r="E191" t="inlineStr">
        <is>
          <t>STRÖMSTAD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60220-2022</t>
        </is>
      </c>
      <c r="B192" s="1" t="n">
        <v>44903</v>
      </c>
      <c r="C192" s="1" t="n">
        <v>45988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11891-2025</t>
        </is>
      </c>
      <c r="B193" s="1" t="n">
        <v>45728.46309027778</v>
      </c>
      <c r="C193" s="1" t="n">
        <v>45988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48071-2024</t>
        </is>
      </c>
      <c r="B194" s="1" t="n">
        <v>45589</v>
      </c>
      <c r="C194" s="1" t="n">
        <v>45988</v>
      </c>
      <c r="D194" t="inlineStr">
        <is>
          <t>VÄSTRA GÖTALANDS LÄN</t>
        </is>
      </c>
      <c r="E194" t="inlineStr">
        <is>
          <t>STRÖMSTAD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45988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45988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33747-2023</t>
        </is>
      </c>
      <c r="B197" s="1" t="n">
        <v>45133.39594907407</v>
      </c>
      <c r="C197" s="1" t="n">
        <v>45988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44523-2023</t>
        </is>
      </c>
      <c r="B198" s="1" t="n">
        <v>45189.4774537037</v>
      </c>
      <c r="C198" s="1" t="n">
        <v>45988</v>
      </c>
      <c r="D198" t="inlineStr">
        <is>
          <t>VÄSTRA GÖTALANDS LÄN</t>
        </is>
      </c>
      <c r="E198" t="inlineStr">
        <is>
          <t>STRÖMSTAD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59396-2024</t>
        </is>
      </c>
      <c r="B199" s="1" t="n">
        <v>45638.37623842592</v>
      </c>
      <c r="C199" s="1" t="n">
        <v>45988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45988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45988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45988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45988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45988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45988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45988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45988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45988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45988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45988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45988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45988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45988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45988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45988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45988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45988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45988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45988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45988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45988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45988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45988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45988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45988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45988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45988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45988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45988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45988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45988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45988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45988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46532-2024</t>
        </is>
      </c>
      <c r="B234" s="1" t="n">
        <v>45582.63861111111</v>
      </c>
      <c r="C234" s="1" t="n">
        <v>45988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2025-11-27T10:24:31Z</dcterms:created>
  <dcterms:modified xmlns:dcterms="http://purl.org/dc/terms/" xmlns:xsi="http://www.w3.org/2001/XMLSchema-instance" xsi:type="dcterms:W3CDTF">2025-11-27T10:24:31Z</dcterms:modified>
</cp:coreProperties>
</file>