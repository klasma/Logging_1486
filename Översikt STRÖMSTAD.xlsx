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46320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46320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46320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46320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46320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35974-2026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46266</v>
      </c>
      <c r="E9" s="1" t="n">
        <v>46320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Grov fjädermossa
Klippfrullania
Västlig hakmossa</t>
        </is>
      </c>
      <c r="W9">
        <f>HYPERLINK("https://klasma.github.io/Logging_1486/artfynd/A 35974-2026 artfynd.xlsx", "A 35974-2026")</f>
        <v/>
      </c>
      <c r="X9">
        <f>HYPERLINK("https://klasma.github.io/Logging_1486/kartor/A 35974-2026 karta.png", "A 35974-2026")</f>
        <v/>
      </c>
      <c r="Y9">
        <f>HYPERLINK("https://klasma.github.io/Logging_1486/kartor_geotiff/A 35974-2026 georefererad karta.tif", "A 35974-2026")</f>
        <v/>
      </c>
      <c r="AA9">
        <f>HYPERLINK("https://klasma.github.io/Logging_1486/klagomål/A 35974-2026 FSC-klagomål.docx", "A 35974-2026")</f>
        <v/>
      </c>
      <c r="AB9">
        <f>HYPERLINK("https://klasma.github.io/Logging_1486/klagomålsmail/A 35974-2026 FSC-klagomål mail.docx", "A 35974-2026")</f>
        <v/>
      </c>
      <c r="AC9">
        <f>HYPERLINK("https://klasma.github.io/Logging_1486/tillsyn/A 35974-2026 tillsynsbegäran.docx", "A 35974-2026")</f>
        <v/>
      </c>
      <c r="AD9">
        <f>HYPERLINK("https://klasma.github.io/Logging_1486/tillsynsmail/A 35974-2026 tillsynsbegäran mail.docx", "A 35974-2026")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46320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46320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46320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46320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46320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46320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46320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46320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46320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46320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6128-2026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46054</v>
      </c>
      <c r="E20" s="1" t="n">
        <v>46320</v>
      </c>
      <c r="F20" t="inlineStr">
        <is>
          <t>VÄSTRA GÖTALANDS LÄN</t>
        </is>
      </c>
      <c r="G20" t="inlineStr">
        <is>
          <t>STRÖMSTAD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6128-2026 artfynd.xlsx", "A 6128-2026")</f>
        <v/>
      </c>
      <c r="X20">
        <f>HYPERLINK("https://klasma.github.io/Logging_1486/kartor/A 6128-2026 karta.png", "A 6128-2026")</f>
        <v/>
      </c>
      <c r="Y20">
        <f>HYPERLINK("https://klasma.github.io/Logging_1486/kartor_geotiff/A 6128-2026 georefererad karta.tif", "A 6128-2026")</f>
        <v/>
      </c>
      <c r="AA20">
        <f>HYPERLINK("https://klasma.github.io/Logging_1486/klagomål/A 6128-2026 FSC-klagomål.docx", "A 6128-2026")</f>
        <v/>
      </c>
      <c r="AB20">
        <f>HYPERLINK("https://klasma.github.io/Logging_1486/klagomålsmail/A 6128-2026 FSC-klagomål mail.docx", "A 6128-2026")</f>
        <v/>
      </c>
      <c r="AC20">
        <f>HYPERLINK("https://klasma.github.io/Logging_1486/tillsyn/A 6128-2026 tillsynsbegäran.docx", "A 6128-2026")</f>
        <v/>
      </c>
      <c r="AD20">
        <f>HYPERLINK("https://klasma.github.io/Logging_1486/tillsynsmail/A 6128-2026 tillsynsbegäran mail.docx", "A 6128-2026")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46320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46320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12779-2025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46320</v>
      </c>
      <c r="F23" t="inlineStr">
        <is>
          <t>VÄSTRA GÖTALANDS LÄN</t>
        </is>
      </c>
      <c r="G23" t="inlineStr">
        <is>
          <t>STRÖMSTAD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HYPERLINK("https://klasma.github.io/Logging_1486/artfynd/A 12779-2025 artfynd.xlsx", "A 12779-2025")</f>
        <v/>
      </c>
      <c r="X23">
        <f>HYPERLINK("https://klasma.github.io/Logging_1486/kartor/A 12779-2025 karta.png", "A 12779-2025")</f>
        <v/>
      </c>
      <c r="Y23">
        <f>HYPERLINK("https://klasma.github.io/Logging_1486/kartor_geotiff/A 12779-2025 georefererad karta.tif", "A 12779-2025")</f>
        <v/>
      </c>
      <c r="AA23">
        <f>HYPERLINK("https://klasma.github.io/Logging_1486/klagomål/A 12779-2025 FSC-klagomål.docx", "A 12779-2025")</f>
        <v/>
      </c>
      <c r="AB23">
        <f>HYPERLINK("https://klasma.github.io/Logging_1486/klagomålsmail/A 12779-2025 FSC-klagomål mail.docx", "A 12779-2025")</f>
        <v/>
      </c>
      <c r="AC23">
        <f>HYPERLINK("https://klasma.github.io/Logging_1486/tillsyn/A 12779-2025 tillsynsbegäran.docx", "A 12779-2025")</f>
        <v/>
      </c>
      <c r="AD23">
        <f>HYPERLINK("https://klasma.github.io/Logging_1486/tillsynsmail/A 12779-2025 tillsynsbegäran mail.docx", "A 12779-2025")</f>
        <v/>
      </c>
      <c r="AE23">
        <f>HYPERLINK("https://klasma.github.io/Logging_1486/fåglar/A 12779-2025 prioriterade fågelarter.docx", "A 12779-2025")</f>
        <v/>
      </c>
    </row>
    <row r="24" ht="15" customHeight="1">
      <c r="A24" t="inlineStr">
        <is>
          <t>A 12238-2025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46320</v>
      </c>
      <c r="F24" t="inlineStr">
        <is>
          <t>VÄSTRA GÖTALANDS LÄN</t>
        </is>
      </c>
      <c r="G24" t="inlineStr">
        <is>
          <t>STRÖMSTAD</t>
        </is>
      </c>
      <c r="I24" t="n">
        <v>10.6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HYPERLINK("https://klasma.github.io/Logging_1486/artfynd/A 12238-2025 artfynd.xlsx", "A 12238-2025")</f>
        <v/>
      </c>
      <c r="X24">
        <f>HYPERLINK("https://klasma.github.io/Logging_1486/kartor/A 12238-2025 karta.png", "A 12238-2025")</f>
        <v/>
      </c>
      <c r="Y24">
        <f>HYPERLINK("https://klasma.github.io/Logging_1486/kartor_geotiff/A 12238-2025 georefererad karta.tif", "A 12238-2025")</f>
        <v/>
      </c>
      <c r="AA24">
        <f>HYPERLINK("https://klasma.github.io/Logging_1486/klagomål/A 12238-2025 FSC-klagomål.docx", "A 12238-2025")</f>
        <v/>
      </c>
      <c r="AB24">
        <f>HYPERLINK("https://klasma.github.io/Logging_1486/klagomålsmail/A 12238-2025 FSC-klagomål mail.docx", "A 12238-2025")</f>
        <v/>
      </c>
      <c r="AC24">
        <f>HYPERLINK("https://klasma.github.io/Logging_1486/tillsyn/A 12238-2025 tillsynsbegäran.docx", "A 12238-2025")</f>
        <v/>
      </c>
      <c r="AD24">
        <f>HYPERLINK("https://klasma.github.io/Logging_1486/tillsynsmail/A 12238-2025 tillsynsbegäran mail.docx", "A 12238-2025")</f>
        <v/>
      </c>
      <c r="AE24">
        <f>HYPERLINK("https://klasma.github.io/Logging_1486/fåglar/A 12238-2025 prioriterade fågelarter.docx", "A 12238-2025")</f>
        <v/>
      </c>
    </row>
    <row r="25" ht="15" customHeight="1">
      <c r="A25" t="inlineStr">
        <is>
          <t>A 14442-2026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46320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Hasselsnok</t>
        </is>
      </c>
      <c r="W25">
        <f>HYPERLINK("https://klasma.github.io/Logging_1486/artfynd/A 14442-2026 artfynd.xlsx", "A 14442-2026")</f>
        <v/>
      </c>
      <c r="X25">
        <f>HYPERLINK("https://klasma.github.io/Logging_1486/kartor/A 14442-2026 karta.png", "A 14442-2026")</f>
        <v/>
      </c>
      <c r="Y25">
        <f>HYPERLINK("https://klasma.github.io/Logging_1486/kartor_geotiff/A 14442-2026 georefererad karta.tif", "A 14442-2026")</f>
        <v/>
      </c>
      <c r="AA25">
        <f>HYPERLINK("https://klasma.github.io/Logging_1486/klagomål/A 14442-2026 FSC-klagomål.docx", "A 14442-2026")</f>
        <v/>
      </c>
      <c r="AB25">
        <f>HYPERLINK("https://klasma.github.io/Logging_1486/klagomålsmail/A 14442-2026 FSC-klagomål mail.docx", "A 14442-2026")</f>
        <v/>
      </c>
      <c r="AC25">
        <f>HYPERLINK("https://klasma.github.io/Logging_1486/tillsyn/A 14442-2026 tillsynsbegäran.docx", "A 14442-2026")</f>
        <v/>
      </c>
      <c r="AD25">
        <f>HYPERLINK("https://klasma.github.io/Logging_1486/tillsynsmail/A 14442-2026 tillsynsbegäran mail.docx", "A 14442-2026")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46320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HYPERLINK("https://klasma.github.io/Logging_1486/artfynd/A 14455-2026 artfynd.xlsx", "A 14455-2026")</f>
        <v/>
      </c>
      <c r="X26">
        <f>HYPERLINK("https://klasma.github.io/Logging_1486/kartor/A 14455-2026 karta.png", "A 14455-2026")</f>
        <v/>
      </c>
      <c r="Y26">
        <f>HYPERLINK("https://klasma.github.io/Logging_1486/kartor_geotiff/A 14455-2026 georefererad karta.tif", "A 14455-2026")</f>
        <v/>
      </c>
      <c r="AA26">
        <f>HYPERLINK("https://klasma.github.io/Logging_1486/klagomål/A 14455-2026 FSC-klagomål.docx", "A 14455-2026")</f>
        <v/>
      </c>
      <c r="AB26">
        <f>HYPERLINK("https://klasma.github.io/Logging_1486/klagomålsmail/A 14455-2026 FSC-klagomål mail.docx", "A 14455-2026")</f>
        <v/>
      </c>
      <c r="AC26">
        <f>HYPERLINK("https://klasma.github.io/Logging_1486/tillsyn/A 14455-2026 tillsynsbegäran.docx", "A 14455-2026")</f>
        <v/>
      </c>
      <c r="AD26">
        <f>HYPERLINK("https://klasma.github.io/Logging_1486/tillsynsmail/A 14455-2026 tillsynsbegäran mail.docx", "A 14455-2026")</f>
        <v/>
      </c>
    </row>
    <row r="27" ht="15" customHeight="1">
      <c r="A27" t="inlineStr">
        <is>
          <t>A 42077-2026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46304</v>
      </c>
      <c r="E27" s="1" t="n">
        <v>46320</v>
      </c>
      <c r="F27" t="inlineStr">
        <is>
          <t>VÄSTRA GÖTALANDS LÄN</t>
        </is>
      </c>
      <c r="G27" t="inlineStr">
        <is>
          <t>STRÖMSTAD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HYPERLINK("https://klasma.github.io/Logging_1486/artfynd/A 42077-2026 artfynd.xlsx", "A 42077-2026")</f>
        <v/>
      </c>
      <c r="X27">
        <f>HYPERLINK("https://klasma.github.io/Logging_1486/kartor/A 42077-2026 karta.png", "A 42077-2026")</f>
        <v/>
      </c>
      <c r="Y27">
        <f>HYPERLINK("https://klasma.github.io/Logging_1486/kartor_geotiff/A 42077-2026 georefererad karta.tif", "A 42077-2026")</f>
        <v/>
      </c>
      <c r="AA27">
        <f>HYPERLINK("https://klasma.github.io/Logging_1486/klagomål/A 42077-2026 FSC-klagomål.docx", "A 42077-2026")</f>
        <v/>
      </c>
      <c r="AB27">
        <f>HYPERLINK("https://klasma.github.io/Logging_1486/klagomålsmail/A 42077-2026 FSC-klagomål mail.docx", "A 42077-2026")</f>
        <v/>
      </c>
      <c r="AC27">
        <f>HYPERLINK("https://klasma.github.io/Logging_1486/tillsyn/A 42077-2026 tillsynsbegäran.docx", "A 42077-2026")</f>
        <v/>
      </c>
      <c r="AD27">
        <f>HYPERLINK("https://klasma.github.io/Logging_1486/tillsynsmail/A 42077-2026 tillsynsbegäran mail.docx", "A 42077-2026")</f>
        <v/>
      </c>
    </row>
    <row r="28" ht="15" customHeight="1">
      <c r="A28" t="inlineStr">
        <is>
          <t>A 35813-2026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46320</v>
      </c>
      <c r="F28" t="inlineStr">
        <is>
          <t>VÄSTRA GÖTALANDS LÄN</t>
        </is>
      </c>
      <c r="G28" t="inlineStr">
        <is>
          <t>STRÖMSTAD</t>
        </is>
      </c>
      <c r="I28" t="n">
        <v>23.7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35813-2026 artfynd.xlsx", "A 35813-2026")</f>
        <v/>
      </c>
      <c r="X28">
        <f>HYPERLINK("https://klasma.github.io/Logging_1486/kartor/A 35813-2026 karta.png", "A 35813-2026")</f>
        <v/>
      </c>
      <c r="Y28">
        <f>HYPERLINK("https://klasma.github.io/Logging_1486/kartor_geotiff/A 35813-2026 georefererad karta.tif", "A 35813-2026")</f>
        <v/>
      </c>
      <c r="AA28">
        <f>HYPERLINK("https://klasma.github.io/Logging_1486/klagomål/A 35813-2026 FSC-klagomål.docx", "A 35813-2026")</f>
        <v/>
      </c>
      <c r="AB28">
        <f>HYPERLINK("https://klasma.github.io/Logging_1486/klagomålsmail/A 35813-2026 FSC-klagomål mail.docx", "A 35813-2026")</f>
        <v/>
      </c>
      <c r="AC28">
        <f>HYPERLINK("https://klasma.github.io/Logging_1486/tillsyn/A 35813-2026 tillsynsbegäran.docx", "A 35813-2026")</f>
        <v/>
      </c>
      <c r="AD28">
        <f>HYPERLINK("https://klasma.github.io/Logging_1486/tillsynsmail/A 35813-2026 tillsynsbegäran mail.docx", "A 35813-2026")</f>
        <v/>
      </c>
    </row>
    <row r="29" ht="15" customHeight="1">
      <c r="A29" t="inlineStr">
        <is>
          <t>A 53485-2023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45230</v>
      </c>
      <c r="E29" s="1" t="n">
        <v>46320</v>
      </c>
      <c r="F29" t="inlineStr">
        <is>
          <t>VÄSTRA GÖTALANDS LÄN</t>
        </is>
      </c>
      <c r="G29" t="inlineStr">
        <is>
          <t>STRÖMSTAD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HYPERLINK("https://klasma.github.io/Logging_1486/artfynd/A 53485-2023 artfynd.xlsx", "A 53485-2023")</f>
        <v/>
      </c>
      <c r="X29">
        <f>HYPERLINK("https://klasma.github.io/Logging_1486/kartor/A 53485-2023 karta.png", "A 53485-2023")</f>
        <v/>
      </c>
      <c r="Y29">
        <f>HYPERLINK("https://klasma.github.io/Logging_1486/kartor_geotiff/A 53485-2023 georefererad karta.tif", "A 53485-2023")</f>
        <v/>
      </c>
      <c r="AA29">
        <f>HYPERLINK("https://klasma.github.io/Logging_1486/klagomål/A 53485-2023 FSC-klagomål.docx", "A 53485-2023")</f>
        <v/>
      </c>
      <c r="AB29">
        <f>HYPERLINK("https://klasma.github.io/Logging_1486/klagomålsmail/A 53485-2023 FSC-klagomål mail.docx", "A 53485-2023")</f>
        <v/>
      </c>
      <c r="AC29">
        <f>HYPERLINK("https://klasma.github.io/Logging_1486/tillsyn/A 53485-2023 tillsynsbegäran.docx", "A 53485-2023")</f>
        <v/>
      </c>
      <c r="AD29">
        <f>HYPERLINK("https://klasma.github.io/Logging_1486/tillsynsmail/A 53485-2023 tillsynsbegäran mail.docx", "A 53485-2023")</f>
        <v/>
      </c>
      <c r="AE29">
        <f>HYPERLINK("https://klasma.github.io/Logging_1486/fåglar/A 53485-2023 prioriterade fågelarter.docx", "A 53485-2023")</f>
        <v/>
      </c>
    </row>
    <row r="30" ht="15" customHeight="1">
      <c r="A30" t="inlineStr">
        <is>
          <t>A 33772-2023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45133</v>
      </c>
      <c r="E30" s="1" t="n">
        <v>46320</v>
      </c>
      <c r="F30" t="inlineStr">
        <is>
          <t>VÄSTRA GÖTALANDS LÄN</t>
        </is>
      </c>
      <c r="G30" t="inlineStr">
        <is>
          <t>STRÖMSTAD</t>
        </is>
      </c>
      <c r="I30" t="n">
        <v>2.2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Entita</t>
        </is>
      </c>
      <c r="W30">
        <f>HYPERLINK("https://klasma.github.io/Logging_1486/artfynd/A 33772-2023 artfynd.xlsx", "A 33772-2023")</f>
        <v/>
      </c>
      <c r="X30">
        <f>HYPERLINK("https://klasma.github.io/Logging_1486/kartor/A 33772-2023 karta.png", "A 33772-2023")</f>
        <v/>
      </c>
      <c r="Y30">
        <f>HYPERLINK("https://klasma.github.io/Logging_1486/kartor_geotiff/A 33772-2023 georefererad karta.tif", "A 33772-2023")</f>
        <v/>
      </c>
      <c r="AA30">
        <f>HYPERLINK("https://klasma.github.io/Logging_1486/klagomål/A 33772-2023 FSC-klagomål.docx", "A 33772-2023")</f>
        <v/>
      </c>
      <c r="AB30">
        <f>HYPERLINK("https://klasma.github.io/Logging_1486/klagomålsmail/A 33772-2023 FSC-klagomål mail.docx", "A 33772-2023")</f>
        <v/>
      </c>
      <c r="AC30">
        <f>HYPERLINK("https://klasma.github.io/Logging_1486/tillsyn/A 33772-2023 tillsynsbegäran.docx", "A 33772-2023")</f>
        <v/>
      </c>
      <c r="AD30">
        <f>HYPERLINK("https://klasma.github.io/Logging_1486/tillsynsmail/A 33772-2023 tillsynsbegäran mail.docx", "A 33772-2023")</f>
        <v/>
      </c>
      <c r="AE30">
        <f>HYPERLINK("https://klasma.github.io/Logging_1486/fåglar/A 33772-2023 prioriterade fågelarter.docx", "A 33772-2023")</f>
        <v/>
      </c>
    </row>
    <row r="31" ht="15" customHeight="1">
      <c r="A31" t="inlineStr">
        <is>
          <t>A 64707-2023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45281</v>
      </c>
      <c r="E31" s="1" t="n">
        <v>46320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HYPERLINK("https://klasma.github.io/Logging_1486/artfynd/A 64707-2023 artfynd.xlsx", "A 64707-2023")</f>
        <v/>
      </c>
      <c r="X31">
        <f>HYPERLINK("https://klasma.github.io/Logging_1486/kartor/A 64707-2023 karta.png", "A 64707-2023")</f>
        <v/>
      </c>
      <c r="Y31">
        <f>HYPERLINK("https://klasma.github.io/Logging_1486/kartor_geotiff/A 64707-2023 georefererad karta.tif", "A 64707-2023")</f>
        <v/>
      </c>
      <c r="Z31">
        <f>HYPERLINK("https://klasma.github.io/Logging_1486/knärot/A 64707-2023 karta knärot.png", "A 64707-2023")</f>
        <v/>
      </c>
      <c r="AA31">
        <f>HYPERLINK("https://klasma.github.io/Logging_1486/klagomål/A 64707-2023 FSC-klagomål.docx", "A 64707-2023")</f>
        <v/>
      </c>
      <c r="AB31">
        <f>HYPERLINK("https://klasma.github.io/Logging_1486/klagomålsmail/A 64707-2023 FSC-klagomål mail.docx", "A 64707-2023")</f>
        <v/>
      </c>
      <c r="AC31">
        <f>HYPERLINK("https://klasma.github.io/Logging_1486/tillsyn/A 64707-2023 tillsynsbegäran.docx", "A 64707-2023")</f>
        <v/>
      </c>
      <c r="AD31">
        <f>HYPERLINK("https://klasma.github.io/Logging_1486/tillsynsmail/A 64707-2023 tillsynsbegäran mail.docx", "A 64707-2023")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46320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46320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46320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46320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46320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46320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46320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46320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46320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46320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46320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46320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46320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46320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46320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46320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46320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46320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46320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46320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46320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46320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46320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45757</v>
      </c>
      <c r="E55" s="1" t="n">
        <v>46320</v>
      </c>
      <c r="F55" t="inlineStr">
        <is>
          <t>VÄSTRA GÖTALANDS LÄN</t>
        </is>
      </c>
      <c r="G55" t="inlineStr">
        <is>
          <t>STRÖMSTAD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46320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44774</v>
      </c>
      <c r="E57" s="1" t="n">
        <v>46320</v>
      </c>
      <c r="F57" t="inlineStr">
        <is>
          <t>VÄSTRA GÖTALANDS LÄN</t>
        </is>
      </c>
      <c r="G57" t="inlineStr">
        <is>
          <t>STRÖMSTAD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15559-2023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46320</v>
      </c>
      <c r="F58" t="inlineStr">
        <is>
          <t>VÄSTRA GÖTALANDS LÄN</t>
        </is>
      </c>
      <c r="G58" t="inlineStr">
        <is>
          <t>STRÖMSTAD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46320</v>
      </c>
      <c r="F59" t="inlineStr">
        <is>
          <t>VÄSTRA GÖTALANDS LÄN</t>
        </is>
      </c>
      <c r="G59" t="inlineStr">
        <is>
          <t>STRÖMSTAD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20968-2023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45061</v>
      </c>
      <c r="E60" s="1" t="n">
        <v>46320</v>
      </c>
      <c r="F60" t="inlineStr">
        <is>
          <t>VÄSTRA GÖTALANDS LÄN</t>
        </is>
      </c>
      <c r="G60" t="inlineStr">
        <is>
          <t>STRÖMSTAD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23027-2026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46161</v>
      </c>
      <c r="E61" s="1" t="n">
        <v>46320</v>
      </c>
      <c r="F61" t="inlineStr">
        <is>
          <t>VÄSTRA GÖTALANDS LÄN</t>
        </is>
      </c>
      <c r="G61" t="inlineStr">
        <is>
          <t>STRÖMSTAD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46320</v>
      </c>
      <c r="F62" t="inlineStr">
        <is>
          <t>VÄSTRA GÖTALANDS LÄN</t>
        </is>
      </c>
      <c r="G62" t="inlineStr">
        <is>
          <t>STRÖMSTAD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45819</v>
      </c>
      <c r="E63" s="1" t="n">
        <v>46320</v>
      </c>
      <c r="F63" t="inlineStr">
        <is>
          <t>VÄSTRA GÖTALANDS LÄN</t>
        </is>
      </c>
      <c r="G63" t="inlineStr">
        <is>
          <t>STRÖMSTAD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46320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46320</v>
      </c>
      <c r="F65" t="inlineStr">
        <is>
          <t>VÄSTRA GÖTALANDS LÄN</t>
        </is>
      </c>
      <c r="G65" t="inlineStr">
        <is>
          <t>STRÖMSTAD</t>
        </is>
      </c>
      <c r="I65" t="n">
        <v>8.300000000000001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45617-2024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45579</v>
      </c>
      <c r="E66" s="1" t="n">
        <v>46320</v>
      </c>
      <c r="F66" t="inlineStr">
        <is>
          <t>VÄSTRA GÖTALANDS LÄN</t>
        </is>
      </c>
      <c r="G66" t="inlineStr">
        <is>
          <t>STRÖMSTAD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46320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45945</v>
      </c>
      <c r="E68" s="1" t="n">
        <v>46320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Övriga Aktiebolag</t>
        </is>
      </c>
      <c r="I68" t="n">
        <v>14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46320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45945</v>
      </c>
      <c r="E70" s="1" t="n">
        <v>46320</v>
      </c>
      <c r="F70" t="inlineStr">
        <is>
          <t>VÄSTRA GÖTALANDS LÄN</t>
        </is>
      </c>
      <c r="G70" t="inlineStr">
        <is>
          <t>STRÖMSTAD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46320</v>
      </c>
      <c r="F71" t="inlineStr">
        <is>
          <t>VÄSTRA GÖTALANDS LÄN</t>
        </is>
      </c>
      <c r="G71" t="inlineStr">
        <is>
          <t>STRÖMSTAD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45946</v>
      </c>
      <c r="E72" s="1" t="n">
        <v>46320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46320</v>
      </c>
      <c r="F73" t="inlineStr">
        <is>
          <t>VÄSTRA GÖTALANDS LÄN</t>
        </is>
      </c>
      <c r="G73" t="inlineStr">
        <is>
          <t>STRÖMSTAD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56024-2023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45240</v>
      </c>
      <c r="E74" s="1" t="n">
        <v>46320</v>
      </c>
      <c r="F74" t="inlineStr">
        <is>
          <t>VÄSTRA GÖTALANDS LÄN</t>
        </is>
      </c>
      <c r="G74" t="inlineStr">
        <is>
          <t>STRÖMSTAD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45331</v>
      </c>
      <c r="E75" s="1" t="n">
        <v>46320</v>
      </c>
      <c r="F75" t="inlineStr">
        <is>
          <t>VÄSTRA GÖTALANDS LÄN</t>
        </is>
      </c>
      <c r="G75" t="inlineStr">
        <is>
          <t>STRÖMSTAD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45243</v>
      </c>
      <c r="E76" s="1" t="n">
        <v>46320</v>
      </c>
      <c r="F76" t="inlineStr">
        <is>
          <t>VÄSTRA GÖTALANDS LÄN</t>
        </is>
      </c>
      <c r="G76" t="inlineStr">
        <is>
          <t>STRÖMSTAD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54126-2025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45964</v>
      </c>
      <c r="E77" s="1" t="n">
        <v>46320</v>
      </c>
      <c r="F77" t="inlineStr">
        <is>
          <t>VÄSTRA GÖTALANDS LÄN</t>
        </is>
      </c>
      <c r="G77" t="inlineStr">
        <is>
          <t>STRÖMSTAD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55830-2025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45972</v>
      </c>
      <c r="E78" s="1" t="n">
        <v>46320</v>
      </c>
      <c r="F78" t="inlineStr">
        <is>
          <t>VÄSTRA GÖTALANDS LÄN</t>
        </is>
      </c>
      <c r="G78" t="inlineStr">
        <is>
          <t>STRÖMSTAD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46196</v>
      </c>
      <c r="E79" s="1" t="n">
        <v>46320</v>
      </c>
      <c r="F79" t="inlineStr">
        <is>
          <t>VÄSTRA GÖTALANDS LÄN</t>
        </is>
      </c>
      <c r="G79" t="inlineStr">
        <is>
          <t>STRÖMSTAD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46156</v>
      </c>
      <c r="E80" s="1" t="n">
        <v>46320</v>
      </c>
      <c r="F80" t="inlineStr">
        <is>
          <t>VÄSTRA GÖTALANDS LÄN</t>
        </is>
      </c>
      <c r="G80" t="inlineStr">
        <is>
          <t>STRÖMSTAD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60768-2022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46320</v>
      </c>
      <c r="F81" t="inlineStr">
        <is>
          <t>VÄSTRA GÖTALANDS LÄN</t>
        </is>
      </c>
      <c r="G81" t="inlineStr">
        <is>
          <t>STRÖMSTAD</t>
        </is>
      </c>
      <c r="I81" t="n">
        <v>10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46320</v>
      </c>
      <c r="F82" t="inlineStr">
        <is>
          <t>VÄSTRA GÖTALANDS LÄN</t>
        </is>
      </c>
      <c r="G82" t="inlineStr">
        <is>
          <t>STRÖMSTAD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46320</v>
      </c>
      <c r="F83" t="inlineStr">
        <is>
          <t>VÄSTRA GÖTALANDS LÄN</t>
        </is>
      </c>
      <c r="G83" t="inlineStr">
        <is>
          <t>STRÖMSTAD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45748</v>
      </c>
      <c r="E84" s="1" t="n">
        <v>46320</v>
      </c>
      <c r="F84" t="inlineStr">
        <is>
          <t>VÄSTRA GÖTALANDS LÄN</t>
        </is>
      </c>
      <c r="G84" t="inlineStr">
        <is>
          <t>STRÖMSTAD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45646</v>
      </c>
      <c r="E85" s="1" t="n">
        <v>46320</v>
      </c>
      <c r="F85" t="inlineStr">
        <is>
          <t>VÄSTRA GÖTALANDS LÄN</t>
        </is>
      </c>
      <c r="G85" t="inlineStr">
        <is>
          <t>STRÖMSTAD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46320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46320</v>
      </c>
      <c r="F87" t="inlineStr">
        <is>
          <t>VÄSTRA GÖTALANDS LÄN</t>
        </is>
      </c>
      <c r="G87" t="inlineStr">
        <is>
          <t>STRÖMSTAD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46320</v>
      </c>
      <c r="F88" t="inlineStr">
        <is>
          <t>VÄSTRA GÖTALANDS LÄN</t>
        </is>
      </c>
      <c r="G88" t="inlineStr">
        <is>
          <t>STRÖMSTAD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46320</v>
      </c>
      <c r="F89" t="inlineStr">
        <is>
          <t>VÄSTRA GÖTALANDS LÄN</t>
        </is>
      </c>
      <c r="G89" t="inlineStr">
        <is>
          <t>STRÖMSTAD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46320</v>
      </c>
      <c r="F90" t="inlineStr">
        <is>
          <t>VÄSTRA GÖTALANDS LÄN</t>
        </is>
      </c>
      <c r="G90" t="inlineStr">
        <is>
          <t>STRÖMSTAD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45579</v>
      </c>
      <c r="E91" s="1" t="n">
        <v>46320</v>
      </c>
      <c r="F91" t="inlineStr">
        <is>
          <t>VÄSTRA GÖTALANDS LÄN</t>
        </is>
      </c>
      <c r="G91" t="inlineStr">
        <is>
          <t>STRÖMSTAD</t>
        </is>
      </c>
      <c r="H91" t="inlineStr">
        <is>
          <t>Kyrkan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46320</v>
      </c>
      <c r="F92" t="inlineStr">
        <is>
          <t>VÄSTRA GÖTALANDS LÄN</t>
        </is>
      </c>
      <c r="G92" t="inlineStr">
        <is>
          <t>STRÖMSTAD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61250-2024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45645</v>
      </c>
      <c r="E93" s="1" t="n">
        <v>46320</v>
      </c>
      <c r="F93" t="inlineStr">
        <is>
          <t>VÄSTRA GÖTALANDS LÄN</t>
        </is>
      </c>
      <c r="G93" t="inlineStr">
        <is>
          <t>STRÖMSTAD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45085</v>
      </c>
      <c r="E94" s="1" t="n">
        <v>46320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57663-2025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46320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45582</v>
      </c>
      <c r="E96" s="1" t="n">
        <v>46320</v>
      </c>
      <c r="F96" t="inlineStr">
        <is>
          <t>VÄSTRA GÖTALANDS LÄN</t>
        </is>
      </c>
      <c r="G96" t="inlineStr">
        <is>
          <t>STRÖMSTAD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46320</v>
      </c>
      <c r="F97" t="inlineStr">
        <is>
          <t>VÄSTRA GÖTALANDS LÄN</t>
        </is>
      </c>
      <c r="G97" t="inlineStr">
        <is>
          <t>STRÖMSTAD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46230</v>
      </c>
      <c r="E98" s="1" t="n">
        <v>46320</v>
      </c>
      <c r="F98" t="inlineStr">
        <is>
          <t>VÄSTRA GÖTALANDS LÄN</t>
        </is>
      </c>
      <c r="G98" t="inlineStr">
        <is>
          <t>STRÖMSTAD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46003</v>
      </c>
      <c r="E99" s="1" t="n">
        <v>46320</v>
      </c>
      <c r="F99" t="inlineStr">
        <is>
          <t>VÄSTRA GÖTALANDS LÄN</t>
        </is>
      </c>
      <c r="G99" t="inlineStr">
        <is>
          <t>STRÖMSTAD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46279</v>
      </c>
      <c r="E100" s="1" t="n">
        <v>46320</v>
      </c>
      <c r="F100" t="inlineStr">
        <is>
          <t>VÄSTRA GÖTALANDS LÄN</t>
        </is>
      </c>
      <c r="G100" t="inlineStr">
        <is>
          <t>STRÖMSTAD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46029</v>
      </c>
      <c r="E101" s="1" t="n">
        <v>46320</v>
      </c>
      <c r="F101" t="inlineStr">
        <is>
          <t>VÄSTRA GÖTALANDS LÄN</t>
        </is>
      </c>
      <c r="G101" t="inlineStr">
        <is>
          <t>STRÖMSTAD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46320</v>
      </c>
      <c r="F102" t="inlineStr">
        <is>
          <t>VÄSTRA GÖTALANDS LÄN</t>
        </is>
      </c>
      <c r="G102" t="inlineStr">
        <is>
          <t>STRÖMSTAD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45739</v>
      </c>
      <c r="E103" s="1" t="n">
        <v>46320</v>
      </c>
      <c r="F103" t="inlineStr">
        <is>
          <t>VÄSTRA GÖTALANDS LÄN</t>
        </is>
      </c>
      <c r="G103" t="inlineStr">
        <is>
          <t>STRÖMSTAD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46283</v>
      </c>
      <c r="E104" s="1" t="n">
        <v>46320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Kyrkan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46034</v>
      </c>
      <c r="E105" s="1" t="n">
        <v>46320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46320</v>
      </c>
      <c r="F106" t="inlineStr">
        <is>
          <t>VÄSTRA GÖTALANDS LÄN</t>
        </is>
      </c>
      <c r="G106" t="inlineStr">
        <is>
          <t>STRÖMSTAD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45739</v>
      </c>
      <c r="E107" s="1" t="n">
        <v>46320</v>
      </c>
      <c r="F107" t="inlineStr">
        <is>
          <t>VÄSTRA GÖTALANDS LÄN</t>
        </is>
      </c>
      <c r="G107" t="inlineStr">
        <is>
          <t>STRÖMSTAD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46320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46320</v>
      </c>
      <c r="F109" t="inlineStr">
        <is>
          <t>VÄSTRA GÖTALANDS LÄN</t>
        </is>
      </c>
      <c r="G109" t="inlineStr">
        <is>
          <t>STRÖMSTAD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46320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45596</v>
      </c>
      <c r="E111" s="1" t="n">
        <v>46320</v>
      </c>
      <c r="F111" t="inlineStr">
        <is>
          <t>VÄSTRA GÖTALANDS LÄN</t>
        </is>
      </c>
      <c r="G111" t="inlineStr">
        <is>
          <t>STRÖMSTAD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46288</v>
      </c>
      <c r="E112" s="1" t="n">
        <v>46320</v>
      </c>
      <c r="F112" t="inlineStr">
        <is>
          <t>VÄSTRA GÖTALANDS LÄN</t>
        </is>
      </c>
      <c r="G112" t="inlineStr">
        <is>
          <t>STRÖMSTAD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72625-2021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46320</v>
      </c>
      <c r="F113" t="inlineStr">
        <is>
          <t>VÄSTRA GÖTALANDS LÄN</t>
        </is>
      </c>
      <c r="G113" t="inlineStr">
        <is>
          <t>STRÖMSTAD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46320</v>
      </c>
      <c r="F114" t="inlineStr">
        <is>
          <t>VÄSTRA GÖTALANDS LÄN</t>
        </is>
      </c>
      <c r="G114" t="inlineStr">
        <is>
          <t>STRÖMSTAD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46320</v>
      </c>
      <c r="F115" t="inlineStr">
        <is>
          <t>VÄSTRA GÖTALANDS LÄN</t>
        </is>
      </c>
      <c r="G115" t="inlineStr">
        <is>
          <t>STRÖMSTAD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46320</v>
      </c>
      <c r="F116" t="inlineStr">
        <is>
          <t>VÄSTRA GÖTALANDS LÄN</t>
        </is>
      </c>
      <c r="G116" t="inlineStr">
        <is>
          <t>STRÖMSTAD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46320</v>
      </c>
      <c r="F117" t="inlineStr">
        <is>
          <t>VÄSTRA GÖTALANDS LÄN</t>
        </is>
      </c>
      <c r="G117" t="inlineStr">
        <is>
          <t>STRÖMSTAD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46320</v>
      </c>
      <c r="F118" t="inlineStr">
        <is>
          <t>VÄSTRA GÖTALANDS LÄN</t>
        </is>
      </c>
      <c r="G118" t="inlineStr">
        <is>
          <t>STRÖMSTAD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45018</v>
      </c>
      <c r="E119" s="1" t="n">
        <v>46320</v>
      </c>
      <c r="F119" t="inlineStr">
        <is>
          <t>VÄSTRA GÖTALANDS LÄN</t>
        </is>
      </c>
      <c r="G119" t="inlineStr">
        <is>
          <t>STRÖMSTAD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46320</v>
      </c>
      <c r="F120" t="inlineStr">
        <is>
          <t>VÄSTRA GÖTALANDS LÄN</t>
        </is>
      </c>
      <c r="G120" t="inlineStr">
        <is>
          <t>STRÖMSTAD</t>
        </is>
      </c>
      <c r="H120" t="inlineStr">
        <is>
          <t>Kommuner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46320</v>
      </c>
      <c r="F121" t="inlineStr">
        <is>
          <t>VÄSTRA GÖTALANDS LÄN</t>
        </is>
      </c>
      <c r="G121" t="inlineStr">
        <is>
          <t>STRÖMSTAD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46293</v>
      </c>
      <c r="E122" s="1" t="n">
        <v>46320</v>
      </c>
      <c r="F122" t="inlineStr">
        <is>
          <t>VÄSTRA GÖTALANDS LÄN</t>
        </is>
      </c>
      <c r="G122" t="inlineStr">
        <is>
          <t>STRÖMSTAD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46282</v>
      </c>
      <c r="E123" s="1" t="n">
        <v>46320</v>
      </c>
      <c r="F123" t="inlineStr">
        <is>
          <t>VÄSTRA GÖTALANDS LÄN</t>
        </is>
      </c>
      <c r="G123" t="inlineStr">
        <is>
          <t>STRÖMSTAD</t>
        </is>
      </c>
      <c r="H123" t="inlineStr">
        <is>
          <t>Kyrkan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46063</v>
      </c>
      <c r="E124" s="1" t="n">
        <v>46320</v>
      </c>
      <c r="F124" t="inlineStr">
        <is>
          <t>VÄSTRA GÖTALANDS LÄN</t>
        </is>
      </c>
      <c r="G124" t="inlineStr">
        <is>
          <t>STRÖMSTAD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46320</v>
      </c>
      <c r="F125" t="inlineStr">
        <is>
          <t>VÄSTRA GÖTALANDS LÄN</t>
        </is>
      </c>
      <c r="G125" t="inlineStr">
        <is>
          <t>STRÖMSTAD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46063</v>
      </c>
      <c r="E126" s="1" t="n">
        <v>46320</v>
      </c>
      <c r="F126" t="inlineStr">
        <is>
          <t>VÄSTRA GÖTALANDS LÄN</t>
        </is>
      </c>
      <c r="G126" t="inlineStr">
        <is>
          <t>STRÖMSTAD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10850-2026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46320</v>
      </c>
      <c r="F127" t="inlineStr">
        <is>
          <t>VÄSTRA GÖTALANDS LÄN</t>
        </is>
      </c>
      <c r="G127" t="inlineStr">
        <is>
          <t>STRÖMSTAD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46320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46320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40915-2026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46297</v>
      </c>
      <c r="E130" s="1" t="n">
        <v>46320</v>
      </c>
      <c r="F130" t="inlineStr">
        <is>
          <t>VÄSTRA GÖTALANDS LÄN</t>
        </is>
      </c>
      <c r="G130" t="inlineStr">
        <is>
          <t>STRÖMSTAD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46320</v>
      </c>
      <c r="F131" t="inlineStr">
        <is>
          <t>VÄSTRA GÖTALANDS LÄN</t>
        </is>
      </c>
      <c r="G131" t="inlineStr">
        <is>
          <t>STRÖMSTAD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46320</v>
      </c>
      <c r="F132" t="inlineStr">
        <is>
          <t>VÄSTRA GÖTALANDS LÄN</t>
        </is>
      </c>
      <c r="G132" t="inlineStr">
        <is>
          <t>STRÖMSTAD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46320</v>
      </c>
      <c r="F133" t="inlineStr">
        <is>
          <t>VÄSTRA GÖTALANDS LÄN</t>
        </is>
      </c>
      <c r="G133" t="inlineStr">
        <is>
          <t>STRÖMSTAD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46320</v>
      </c>
      <c r="F134" t="inlineStr">
        <is>
          <t>VÄSTRA GÖTALANDS LÄN</t>
        </is>
      </c>
      <c r="G134" t="inlineStr">
        <is>
          <t>STRÖMSTAD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46320</v>
      </c>
      <c r="F135" t="inlineStr">
        <is>
          <t>VÄSTRA GÖTALANDS LÄN</t>
        </is>
      </c>
      <c r="G135" t="inlineStr">
        <is>
          <t>STRÖMSTAD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46320</v>
      </c>
      <c r="F136" t="inlineStr">
        <is>
          <t>VÄSTRA GÖTALANDS LÄN</t>
        </is>
      </c>
      <c r="G136" t="inlineStr">
        <is>
          <t>STRÖMSTAD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46320</v>
      </c>
      <c r="F137" t="inlineStr">
        <is>
          <t>VÄSTRA GÖTALANDS LÄN</t>
        </is>
      </c>
      <c r="G137" t="inlineStr">
        <is>
          <t>STRÖMSTAD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46320</v>
      </c>
      <c r="F138" t="inlineStr">
        <is>
          <t>VÄSTRA GÖTALANDS LÄN</t>
        </is>
      </c>
      <c r="G138" t="inlineStr">
        <is>
          <t>STRÖMSTAD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46320</v>
      </c>
      <c r="F139" t="inlineStr">
        <is>
          <t>VÄSTRA GÖTALANDS LÄN</t>
        </is>
      </c>
      <c r="G139" t="inlineStr">
        <is>
          <t>STRÖMSTAD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46320</v>
      </c>
      <c r="F140" t="inlineStr">
        <is>
          <t>VÄSTRA GÖTALANDS LÄN</t>
        </is>
      </c>
      <c r="G140" t="inlineStr">
        <is>
          <t>STRÖMSTAD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46320</v>
      </c>
      <c r="F141" t="inlineStr">
        <is>
          <t>VÄSTRA GÖTALANDS LÄN</t>
        </is>
      </c>
      <c r="G141" t="inlineStr">
        <is>
          <t>STRÖMSTAD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46320</v>
      </c>
      <c r="F142" t="inlineStr">
        <is>
          <t>VÄSTRA GÖTALANDS LÄN</t>
        </is>
      </c>
      <c r="G142" t="inlineStr">
        <is>
          <t>STRÖMSTAD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46260</v>
      </c>
      <c r="E143" s="1" t="n">
        <v>46320</v>
      </c>
      <c r="F143" t="inlineStr">
        <is>
          <t>VÄSTRA GÖTALANDS LÄN</t>
        </is>
      </c>
      <c r="G143" t="inlineStr">
        <is>
          <t>STRÖMSTAD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35946-2026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46266</v>
      </c>
      <c r="E144" s="1" t="n">
        <v>46320</v>
      </c>
      <c r="F144" t="inlineStr">
        <is>
          <t>VÄSTRA GÖTALANDS LÄN</t>
        </is>
      </c>
      <c r="G144" t="inlineStr">
        <is>
          <t>STRÖMSTAD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46103</v>
      </c>
      <c r="E145" s="1" t="n">
        <v>46320</v>
      </c>
      <c r="F145" t="inlineStr">
        <is>
          <t>VÄSTRA GÖTALANDS LÄN</t>
        </is>
      </c>
      <c r="G145" t="inlineStr">
        <is>
          <t>STRÖMSTAD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46320</v>
      </c>
      <c r="F146" t="inlineStr">
        <is>
          <t>VÄSTRA GÖTALANDS LÄN</t>
        </is>
      </c>
      <c r="G146" t="inlineStr">
        <is>
          <t>STRÖMSTAD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46320</v>
      </c>
      <c r="F147" t="inlineStr">
        <is>
          <t>VÄSTRA GÖTALANDS LÄN</t>
        </is>
      </c>
      <c r="G147" t="inlineStr">
        <is>
          <t>STRÖMSTAD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46320</v>
      </c>
      <c r="F148" t="inlineStr">
        <is>
          <t>VÄSTRA GÖTALANDS LÄN</t>
        </is>
      </c>
      <c r="G148" t="inlineStr">
        <is>
          <t>STRÖMSTAD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46320</v>
      </c>
      <c r="F149" t="inlineStr">
        <is>
          <t>VÄSTRA GÖTALANDS LÄN</t>
        </is>
      </c>
      <c r="G149" t="inlineStr">
        <is>
          <t>STRÖMSTAD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45126</v>
      </c>
      <c r="E150" s="1" t="n">
        <v>46320</v>
      </c>
      <c r="F150" t="inlineStr">
        <is>
          <t>VÄSTRA GÖTALANDS LÄN</t>
        </is>
      </c>
      <c r="G150" t="inlineStr">
        <is>
          <t>STRÖMSTAD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46273</v>
      </c>
      <c r="E151" s="1" t="n">
        <v>46320</v>
      </c>
      <c r="F151" t="inlineStr">
        <is>
          <t>VÄSTRA GÖTALANDS LÄN</t>
        </is>
      </c>
      <c r="G151" t="inlineStr">
        <is>
          <t>STRÖMSTAD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46320</v>
      </c>
      <c r="F152" t="inlineStr">
        <is>
          <t>VÄSTRA GÖTALANDS LÄN</t>
        </is>
      </c>
      <c r="G152" t="inlineStr">
        <is>
          <t>STRÖMSTAD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46320</v>
      </c>
      <c r="F153" t="inlineStr">
        <is>
          <t>VÄSTRA GÖTALANDS LÄN</t>
        </is>
      </c>
      <c r="G153" t="inlineStr">
        <is>
          <t>STRÖMSTAD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46320</v>
      </c>
      <c r="F154" t="inlineStr">
        <is>
          <t>VÄSTRA GÖTALANDS LÄN</t>
        </is>
      </c>
      <c r="G154" t="inlineStr">
        <is>
          <t>STRÖMSTAD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45876</v>
      </c>
      <c r="E155" s="1" t="n">
        <v>46320</v>
      </c>
      <c r="F155" t="inlineStr">
        <is>
          <t>VÄSTRA GÖTALANDS LÄN</t>
        </is>
      </c>
      <c r="G155" t="inlineStr">
        <is>
          <t>STRÖMSTAD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46320</v>
      </c>
      <c r="F156" t="inlineStr">
        <is>
          <t>VÄSTRA GÖTALANDS LÄN</t>
        </is>
      </c>
      <c r="G156" t="inlineStr">
        <is>
          <t>STRÖMSTAD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46320</v>
      </c>
      <c r="F157" t="inlineStr">
        <is>
          <t>VÄSTRA GÖTALANDS LÄN</t>
        </is>
      </c>
      <c r="G157" t="inlineStr">
        <is>
          <t>STRÖMSTAD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45578</v>
      </c>
      <c r="E158" s="1" t="n">
        <v>46320</v>
      </c>
      <c r="F158" t="inlineStr">
        <is>
          <t>VÄSTRA GÖTALANDS LÄN</t>
        </is>
      </c>
      <c r="G158" t="inlineStr">
        <is>
          <t>STRÖMSTAD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46320</v>
      </c>
      <c r="F159" t="inlineStr">
        <is>
          <t>VÄSTRA GÖTALANDS LÄN</t>
        </is>
      </c>
      <c r="G159" t="inlineStr">
        <is>
          <t>STRÖMSTAD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46320</v>
      </c>
      <c r="F160" t="inlineStr">
        <is>
          <t>VÄSTRA GÖTALANDS LÄN</t>
        </is>
      </c>
      <c r="G160" t="inlineStr">
        <is>
          <t>STRÖMSTAD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46320</v>
      </c>
      <c r="F161" t="inlineStr">
        <is>
          <t>VÄSTRA GÖTALANDS LÄN</t>
        </is>
      </c>
      <c r="G161" t="inlineStr">
        <is>
          <t>STRÖMSTAD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21755-2026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46320</v>
      </c>
      <c r="F162" t="inlineStr">
        <is>
          <t>VÄSTRA GÖTALANDS LÄN</t>
        </is>
      </c>
      <c r="G162" t="inlineStr">
        <is>
          <t>STRÖMSTAD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44645</v>
      </c>
      <c r="E163" s="1" t="n">
        <v>46320</v>
      </c>
      <c r="F163" t="inlineStr">
        <is>
          <t>VÄSTRA GÖTALANDS LÄN</t>
        </is>
      </c>
      <c r="G163" t="inlineStr">
        <is>
          <t>STRÖMSTAD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46320</v>
      </c>
      <c r="F164" t="inlineStr">
        <is>
          <t>VÄSTRA GÖTALANDS LÄN</t>
        </is>
      </c>
      <c r="G164" t="inlineStr">
        <is>
          <t>STRÖMSTAD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46320</v>
      </c>
      <c r="F165" t="inlineStr">
        <is>
          <t>VÄSTRA GÖTALANDS LÄN</t>
        </is>
      </c>
      <c r="G165" t="inlineStr">
        <is>
          <t>STRÖMSTAD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46320</v>
      </c>
      <c r="F166" t="inlineStr">
        <is>
          <t>VÄSTRA GÖTALANDS LÄN</t>
        </is>
      </c>
      <c r="G166" t="inlineStr">
        <is>
          <t>STRÖMSTAD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45638</v>
      </c>
      <c r="E167" s="1" t="n">
        <v>46320</v>
      </c>
      <c r="F167" t="inlineStr">
        <is>
          <t>VÄSTRA GÖTALANDS LÄN</t>
        </is>
      </c>
      <c r="G167" t="inlineStr">
        <is>
          <t>STRÖMSTAD</t>
        </is>
      </c>
      <c r="H167" t="inlineStr">
        <is>
          <t>Kommuner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46320</v>
      </c>
      <c r="F168" t="inlineStr">
        <is>
          <t>VÄSTRA GÖTALANDS LÄN</t>
        </is>
      </c>
      <c r="G168" t="inlineStr">
        <is>
          <t>STRÖMSTAD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53761-2024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46320</v>
      </c>
      <c r="F169" t="inlineStr">
        <is>
          <t>VÄSTRA GÖTALANDS LÄN</t>
        </is>
      </c>
      <c r="G169" t="inlineStr">
        <is>
          <t>STRÖMSTAD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45033</v>
      </c>
      <c r="E170" s="1" t="n">
        <v>46320</v>
      </c>
      <c r="F170" t="inlineStr">
        <is>
          <t>VÄSTRA GÖTALANDS LÄN</t>
        </is>
      </c>
      <c r="G170" t="inlineStr">
        <is>
          <t>STRÖMSTAD</t>
        </is>
      </c>
      <c r="H170" t="inlineStr">
        <is>
          <t>Kommuner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46320</v>
      </c>
      <c r="F171" t="inlineStr">
        <is>
          <t>VÄSTRA GÖTALANDS LÄN</t>
        </is>
      </c>
      <c r="G171" t="inlineStr">
        <is>
          <t>STRÖMSTAD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33745-2023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45133</v>
      </c>
      <c r="E172" s="1" t="n">
        <v>46320</v>
      </c>
      <c r="F172" t="inlineStr">
        <is>
          <t>VÄSTRA GÖTALANDS LÄN</t>
        </is>
      </c>
      <c r="G172" t="inlineStr">
        <is>
          <t>STRÖMSTAD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46320</v>
      </c>
      <c r="F173" t="inlineStr">
        <is>
          <t>VÄSTRA GÖTALANDS LÄN</t>
        </is>
      </c>
      <c r="G173" t="inlineStr">
        <is>
          <t>STRÖMSTAD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46320</v>
      </c>
      <c r="F174" t="inlineStr">
        <is>
          <t>VÄSTRA GÖTALANDS LÄN</t>
        </is>
      </c>
      <c r="G174" t="inlineStr">
        <is>
          <t>STRÖMSTAD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45057</v>
      </c>
      <c r="E175" s="1" t="n">
        <v>46320</v>
      </c>
      <c r="F175" t="inlineStr">
        <is>
          <t>VÄSTRA GÖTALANDS LÄN</t>
        </is>
      </c>
      <c r="G175" t="inlineStr">
        <is>
          <t>STRÖMSTAD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19134-2025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45764</v>
      </c>
      <c r="E176" s="1" t="n">
        <v>46320</v>
      </c>
      <c r="F176" t="inlineStr">
        <is>
          <t>VÄSTRA GÖTALANDS LÄN</t>
        </is>
      </c>
      <c r="G176" t="inlineStr">
        <is>
          <t>STRÖMSTAD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46320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46320</v>
      </c>
      <c r="F178" t="inlineStr">
        <is>
          <t>VÄSTRA GÖTALANDS LÄN</t>
        </is>
      </c>
      <c r="G178" t="inlineStr">
        <is>
          <t>STRÖMSTAD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46320</v>
      </c>
      <c r="F179" t="inlineStr">
        <is>
          <t>VÄSTRA GÖTALANDS LÄN</t>
        </is>
      </c>
      <c r="G179" t="inlineStr">
        <is>
          <t>STRÖMSTAD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46320</v>
      </c>
      <c r="F180" t="inlineStr">
        <is>
          <t>VÄSTRA GÖTALANDS LÄN</t>
        </is>
      </c>
      <c r="G180" t="inlineStr">
        <is>
          <t>STRÖMSTAD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46320</v>
      </c>
      <c r="F181" t="inlineStr">
        <is>
          <t>VÄSTRA GÖTALANDS LÄN</t>
        </is>
      </c>
      <c r="G181" t="inlineStr">
        <is>
          <t>STRÖMSTAD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45316</v>
      </c>
      <c r="E182" s="1" t="n">
        <v>46320</v>
      </c>
      <c r="F182" t="inlineStr">
        <is>
          <t>VÄSTRA GÖTALANDS LÄN</t>
        </is>
      </c>
      <c r="G182" t="inlineStr">
        <is>
          <t>STRÖMSTAD</t>
        </is>
      </c>
      <c r="H182" t="inlineStr">
        <is>
          <t>Kommuner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46320</v>
      </c>
      <c r="F183" t="inlineStr">
        <is>
          <t>VÄSTRA GÖTALANDS LÄN</t>
        </is>
      </c>
      <c r="G183" t="inlineStr">
        <is>
          <t>STRÖMSTAD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46320</v>
      </c>
      <c r="F184" t="inlineStr">
        <is>
          <t>VÄSTRA GÖTALANDS LÄN</t>
        </is>
      </c>
      <c r="G184" t="inlineStr">
        <is>
          <t>STRÖMSTAD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13109-2023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46320</v>
      </c>
      <c r="F185" t="inlineStr">
        <is>
          <t>VÄSTRA GÖTALANDS LÄN</t>
        </is>
      </c>
      <c r="G185" t="inlineStr">
        <is>
          <t>STRÖMSTAD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56130-2022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44886</v>
      </c>
      <c r="E186" s="1" t="n">
        <v>46320</v>
      </c>
      <c r="F186" t="inlineStr">
        <is>
          <t>VÄSTRA GÖTALANDS LÄN</t>
        </is>
      </c>
      <c r="G186" t="inlineStr">
        <is>
          <t>STRÖMSTAD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46320</v>
      </c>
      <c r="F187" t="inlineStr">
        <is>
          <t>VÄSTRA GÖTALANDS LÄN</t>
        </is>
      </c>
      <c r="G187" t="inlineStr">
        <is>
          <t>STRÖMSTAD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46320</v>
      </c>
      <c r="F188" t="inlineStr">
        <is>
          <t>VÄSTRA GÖTALANDS LÄN</t>
        </is>
      </c>
      <c r="G188" t="inlineStr">
        <is>
          <t>STRÖMSTAD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45482</v>
      </c>
      <c r="E189" s="1" t="n">
        <v>46320</v>
      </c>
      <c r="F189" t="inlineStr">
        <is>
          <t>VÄSTRA GÖTALANDS LÄN</t>
        </is>
      </c>
      <c r="G189" t="inlineStr">
        <is>
          <t>STRÖMSTAD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46320</v>
      </c>
      <c r="F190" t="inlineStr">
        <is>
          <t>VÄSTRA GÖTALANDS LÄN</t>
        </is>
      </c>
      <c r="G190" t="inlineStr">
        <is>
          <t>STRÖMSTAD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44603</v>
      </c>
      <c r="E191" s="1" t="n">
        <v>46320</v>
      </c>
      <c r="F191" t="inlineStr">
        <is>
          <t>VÄSTRA GÖTALANDS LÄN</t>
        </is>
      </c>
      <c r="G191" t="inlineStr">
        <is>
          <t>STRÖMSTAD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46320</v>
      </c>
      <c r="F192" t="inlineStr">
        <is>
          <t>VÄSTRA GÖTALANDS LÄN</t>
        </is>
      </c>
      <c r="G192" t="inlineStr">
        <is>
          <t>STRÖMSTAD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67875-2021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44525</v>
      </c>
      <c r="E193" s="1" t="n">
        <v>46320</v>
      </c>
      <c r="F193" t="inlineStr">
        <is>
          <t>VÄSTRA GÖTALANDS LÄN</t>
        </is>
      </c>
      <c r="G193" t="inlineStr">
        <is>
          <t>STRÖMSTAD</t>
        </is>
      </c>
      <c r="I193" t="n">
        <v>15.5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45407</v>
      </c>
      <c r="E194" s="1" t="n">
        <v>46320</v>
      </c>
      <c r="F194" t="inlineStr">
        <is>
          <t>VÄSTRA GÖTALANDS LÄN</t>
        </is>
      </c>
      <c r="G194" t="inlineStr">
        <is>
          <t>STRÖMSTAD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46320</v>
      </c>
      <c r="F195" t="inlineStr">
        <is>
          <t>VÄSTRA GÖTALANDS LÄN</t>
        </is>
      </c>
      <c r="G195" t="inlineStr">
        <is>
          <t>STRÖMSTAD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45366</v>
      </c>
      <c r="E196" s="1" t="n">
        <v>46320</v>
      </c>
      <c r="F196" t="inlineStr">
        <is>
          <t>VÄSTRA GÖTALANDS LÄN</t>
        </is>
      </c>
      <c r="G196" t="inlineStr">
        <is>
          <t>STRÖMSTAD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45555</v>
      </c>
      <c r="E197" s="1" t="n">
        <v>46320</v>
      </c>
      <c r="F197" t="inlineStr">
        <is>
          <t>VÄSTRA GÖTALANDS LÄN</t>
        </is>
      </c>
      <c r="G197" t="inlineStr">
        <is>
          <t>STRÖMSTAD</t>
        </is>
      </c>
      <c r="I197" t="n">
        <v>14.5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45217</v>
      </c>
      <c r="E198" s="1" t="n">
        <v>46320</v>
      </c>
      <c r="F198" t="inlineStr">
        <is>
          <t>VÄSTRA GÖTALANDS LÄN</t>
        </is>
      </c>
      <c r="G198" t="inlineStr">
        <is>
          <t>STRÖMSTAD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38818-2024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46320</v>
      </c>
      <c r="F199" t="inlineStr">
        <is>
          <t>VÄSTRA GÖTALANDS LÄN</t>
        </is>
      </c>
      <c r="G199" t="inlineStr">
        <is>
          <t>STRÖMSTAD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8047-2024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45351</v>
      </c>
      <c r="E200" s="1" t="n">
        <v>46320</v>
      </c>
      <c r="F200" t="inlineStr">
        <is>
          <t>VÄSTRA GÖTALANDS LÄN</t>
        </is>
      </c>
      <c r="G200" t="inlineStr">
        <is>
          <t>STRÖMSTAD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46320</v>
      </c>
      <c r="F201" t="inlineStr">
        <is>
          <t>VÄSTRA GÖTALANDS LÄN</t>
        </is>
      </c>
      <c r="G201" t="inlineStr">
        <is>
          <t>STRÖMSTAD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46320</v>
      </c>
      <c r="F202" t="inlineStr">
        <is>
          <t>VÄSTRA GÖTALANDS LÄN</t>
        </is>
      </c>
      <c r="G202" t="inlineStr">
        <is>
          <t>STRÖMSTAD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44701</v>
      </c>
      <c r="E203" s="1" t="n">
        <v>46320</v>
      </c>
      <c r="F203" t="inlineStr">
        <is>
          <t>VÄSTRA GÖTALANDS LÄN</t>
        </is>
      </c>
      <c r="G203" t="inlineStr">
        <is>
          <t>STRÖMSTAD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46320</v>
      </c>
      <c r="F204" t="inlineStr">
        <is>
          <t>VÄSTRA GÖTALANDS LÄN</t>
        </is>
      </c>
      <c r="G204" t="inlineStr">
        <is>
          <t>STRÖMSTAD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46320</v>
      </c>
      <c r="F205" t="inlineStr">
        <is>
          <t>VÄSTRA GÖTALANDS LÄN</t>
        </is>
      </c>
      <c r="G205" t="inlineStr">
        <is>
          <t>STRÖMSTAD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45318</v>
      </c>
      <c r="E206" s="1" t="n">
        <v>46320</v>
      </c>
      <c r="F206" t="inlineStr">
        <is>
          <t>VÄSTRA GÖTALANDS LÄN</t>
        </is>
      </c>
      <c r="G206" t="inlineStr">
        <is>
          <t>STRÖMSTAD</t>
        </is>
      </c>
      <c r="H206" t="inlineStr">
        <is>
          <t>Kommuner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46320</v>
      </c>
      <c r="F207" t="inlineStr">
        <is>
          <t>VÄSTRA GÖTALANDS LÄN</t>
        </is>
      </c>
      <c r="G207" t="inlineStr">
        <is>
          <t>STRÖMSTAD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46320</v>
      </c>
      <c r="F208" t="inlineStr">
        <is>
          <t>VÄSTRA GÖTALANDS LÄN</t>
        </is>
      </c>
      <c r="G208" t="inlineStr">
        <is>
          <t>STRÖMSTAD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46320</v>
      </c>
      <c r="F209" t="inlineStr">
        <is>
          <t>VÄSTRA GÖTALANDS LÄN</t>
        </is>
      </c>
      <c r="G209" t="inlineStr">
        <is>
          <t>STRÖMSTAD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45482</v>
      </c>
      <c r="E210" s="1" t="n">
        <v>46320</v>
      </c>
      <c r="F210" t="inlineStr">
        <is>
          <t>VÄSTRA GÖTALANDS LÄN</t>
        </is>
      </c>
      <c r="G210" t="inlineStr">
        <is>
          <t>STRÖMSTAD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44892</v>
      </c>
      <c r="E211" s="1" t="n">
        <v>46320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46320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46320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46320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2026-10-25T02:04:42Z</dcterms:created>
  <dcterms:modified xmlns:dcterms="http://purl.org/dc/terms/" xmlns:xsi="http://www.w3.org/2001/XMLSchema-instance" xsi:type="dcterms:W3CDTF">2026-10-25T02:04:43Z</dcterms:modified>
</cp:coreProperties>
</file>