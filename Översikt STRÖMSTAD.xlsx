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45850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45850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45850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45850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45850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45850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10368-2025</t>
        </is>
      </c>
      <c r="B8" s="1" t="n">
        <v>45720</v>
      </c>
      <c r="C8" s="1" t="n">
        <v>45850</v>
      </c>
      <c r="D8" t="inlineStr">
        <is>
          <t>VÄSTRA GÖTALANDS LÄN</t>
        </is>
      </c>
      <c r="E8" t="inlineStr">
        <is>
          <t>STRÖMSTAD</t>
        </is>
      </c>
      <c r="G8" t="n">
        <v>6.4</v>
      </c>
      <c r="H8" t="n">
        <v>5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Kricka
Desmeknopp
Gravand
Havsörn
Strandskata
Blåsippa</t>
        </is>
      </c>
      <c r="S8">
        <f>HYPERLINK("https://klasma.github.io/Logging_141486/artfynd/A 10368-2025 artfynd.xlsx", "A 10368-2025")</f>
        <v/>
      </c>
      <c r="T8">
        <f>HYPERLINK("https://klasma.github.io/Logging_141486/kartor/A 10368-2025 karta.png", "A 10368-2025")</f>
        <v/>
      </c>
      <c r="V8">
        <f>HYPERLINK("https://klasma.github.io/Logging_141486/klagomål/A 10368-2025 FSC-klagomål.docx", "A 10368-2025")</f>
        <v/>
      </c>
      <c r="W8">
        <f>HYPERLINK("https://klasma.github.io/Logging_141486/klagomålsmail/A 10368-2025 FSC-klagomål mail.docx", "A 10368-2025")</f>
        <v/>
      </c>
      <c r="X8">
        <f>HYPERLINK("https://klasma.github.io/Logging_141486/tillsyn/A 10368-2025 tillsynsbegäran.docx", "A 10368-2025")</f>
        <v/>
      </c>
      <c r="Y8">
        <f>HYPERLINK("https://klasma.github.io/Logging_141486/tillsynsmail/A 10368-2025 tillsynsbegäran mail.docx", "A 10368-2025")</f>
        <v/>
      </c>
      <c r="Z8">
        <f>HYPERLINK("https://klasma.github.io/Logging_141486/fåglar/A 10368-2025 prioriterade fågelarter.docx", "A 10368-2025")</f>
        <v/>
      </c>
    </row>
    <row r="9" ht="15" customHeight="1">
      <c r="A9" t="inlineStr">
        <is>
          <t>A 31970-2019</t>
        </is>
      </c>
      <c r="B9" s="1" t="n">
        <v>43642</v>
      </c>
      <c r="C9" s="1" t="n">
        <v>45850</v>
      </c>
      <c r="D9" t="inlineStr">
        <is>
          <t>VÄSTRA GÖTALANDS LÄN</t>
        </is>
      </c>
      <c r="E9" t="inlineStr">
        <is>
          <t>STRÖMSTAD</t>
        </is>
      </c>
      <c r="G9" t="n">
        <v>3.3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Spillkråka
Murgröna
Vanlig snok
Revlummer</t>
        </is>
      </c>
      <c r="S9">
        <f>HYPERLINK("https://klasma.github.io/Logging_1486/artfynd/A 31970-2019 artfynd.xlsx", "A 31970-2019")</f>
        <v/>
      </c>
      <c r="T9">
        <f>HYPERLINK("https://klasma.github.io/Logging_1486/kartor/A 31970-2019 karta.png", "A 31970-2019")</f>
        <v/>
      </c>
      <c r="U9">
        <f>HYPERLINK("https://klasma.github.io/Logging_1486/knärot/A 31970-2019 karta knärot.png", "A 31970-2019")</f>
        <v/>
      </c>
      <c r="V9">
        <f>HYPERLINK("https://klasma.github.io/Logging_1486/klagomål/A 31970-2019 FSC-klagomål.docx", "A 31970-2019")</f>
        <v/>
      </c>
      <c r="W9">
        <f>HYPERLINK("https://klasma.github.io/Logging_1486/klagomålsmail/A 31970-2019 FSC-klagomål mail.docx", "A 31970-2019")</f>
        <v/>
      </c>
      <c r="X9">
        <f>HYPERLINK("https://klasma.github.io/Logging_1486/tillsyn/A 31970-2019 tillsynsbegäran.docx", "A 31970-2019")</f>
        <v/>
      </c>
      <c r="Y9">
        <f>HYPERLINK("https://klasma.github.io/Logging_1486/tillsynsmail/A 31970-2019 tillsynsbegäran mail.docx", "A 31970-2019")</f>
        <v/>
      </c>
      <c r="Z9">
        <f>HYPERLINK("https://klasma.github.io/Logging_1486/fåglar/A 31970-2019 prioriterade fågelarter.docx", "A 31970-2019")</f>
        <v/>
      </c>
    </row>
    <row r="10" ht="15" customHeight="1">
      <c r="A10" t="inlineStr">
        <is>
          <t>A 38001-2019</t>
        </is>
      </c>
      <c r="B10" s="1" t="n">
        <v>43683</v>
      </c>
      <c r="C10" s="1" t="n">
        <v>45850</v>
      </c>
      <c r="D10" t="inlineStr">
        <is>
          <t>VÄSTRA GÖTALANDS LÄN</t>
        </is>
      </c>
      <c r="E10" t="inlineStr">
        <is>
          <t>STRÖMSTAD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Blåmossa
Havstulpanlav
Mattlummer
Revlummer</t>
        </is>
      </c>
      <c r="S10">
        <f>HYPERLINK("https://klasma.github.io/Logging_1486/artfynd/A 38001-2019 artfynd.xlsx", "A 38001-2019")</f>
        <v/>
      </c>
      <c r="T10">
        <f>HYPERLINK("https://klasma.github.io/Logging_1486/kartor/A 38001-2019 karta.png", "A 38001-2019")</f>
        <v/>
      </c>
      <c r="V10">
        <f>HYPERLINK("https://klasma.github.io/Logging_1486/klagomål/A 38001-2019 FSC-klagomål.docx", "A 38001-2019")</f>
        <v/>
      </c>
      <c r="W10">
        <f>HYPERLINK("https://klasma.github.io/Logging_1486/klagomålsmail/A 38001-2019 FSC-klagomål mail.docx", "A 38001-2019")</f>
        <v/>
      </c>
      <c r="X10">
        <f>HYPERLINK("https://klasma.github.io/Logging_1486/tillsyn/A 38001-2019 tillsynsbegäran.docx", "A 38001-2019")</f>
        <v/>
      </c>
      <c r="Y10">
        <f>HYPERLINK("https://klasma.github.io/Logging_1486/tillsynsmail/A 38001-2019 tillsynsbegäran mail.docx", "A 38001-2019")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45850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45850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45850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41233-2020</t>
        </is>
      </c>
      <c r="B14" s="1" t="n">
        <v>44071</v>
      </c>
      <c r="C14" s="1" t="n">
        <v>45850</v>
      </c>
      <c r="D14" t="inlineStr">
        <is>
          <t>VÄSTRA GÖTALANDS LÄN</t>
        </is>
      </c>
      <c r="E14" t="inlineStr">
        <is>
          <t>STRÖMSTAD</t>
        </is>
      </c>
      <c r="G14" t="n">
        <v>9.300000000000001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Blåsippa
Revlummer</t>
        </is>
      </c>
      <c r="S14">
        <f>HYPERLINK("https://klasma.github.io/Logging_1486/artfynd/A 41233-2020 artfynd.xlsx", "A 41233-2020")</f>
        <v/>
      </c>
      <c r="T14">
        <f>HYPERLINK("https://klasma.github.io/Logging_1486/kartor/A 41233-2020 karta.png", "A 41233-2020")</f>
        <v/>
      </c>
      <c r="V14">
        <f>HYPERLINK("https://klasma.github.io/Logging_1486/klagomål/A 41233-2020 FSC-klagomål.docx", "A 41233-2020")</f>
        <v/>
      </c>
      <c r="W14">
        <f>HYPERLINK("https://klasma.github.io/Logging_1486/klagomålsmail/A 41233-2020 FSC-klagomål mail.docx", "A 41233-2020")</f>
        <v/>
      </c>
      <c r="X14">
        <f>HYPERLINK("https://klasma.github.io/Logging_1486/tillsyn/A 41233-2020 tillsynsbegäran.docx", "A 41233-2020")</f>
        <v/>
      </c>
      <c r="Y14">
        <f>HYPERLINK("https://klasma.github.io/Logging_1486/tillsynsmail/A 41233-2020 tillsynsbegäran mail.docx", "A 41233-2020")</f>
        <v/>
      </c>
    </row>
    <row r="15" ht="15" customHeight="1">
      <c r="A15" t="inlineStr">
        <is>
          <t>A 57107-2020</t>
        </is>
      </c>
      <c r="B15" s="1" t="n">
        <v>44139</v>
      </c>
      <c r="C15" s="1" t="n">
        <v>45850</v>
      </c>
      <c r="D15" t="inlineStr">
        <is>
          <t>VÄSTRA GÖTALANDS LÄN</t>
        </is>
      </c>
      <c r="E15" t="inlineStr">
        <is>
          <t>STRÖMSTAD</t>
        </is>
      </c>
      <c r="G15" t="n">
        <v>3.6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Aspvedgnagare
Granbarkgnagare
Guldlockmossa</t>
        </is>
      </c>
      <c r="S15">
        <f>HYPERLINK("https://klasma.github.io/Logging_1486/artfynd/A 57107-2020 artfynd.xlsx", "A 57107-2020")</f>
        <v/>
      </c>
      <c r="T15">
        <f>HYPERLINK("https://klasma.github.io/Logging_1486/kartor/A 57107-2020 karta.png", "A 57107-2020")</f>
        <v/>
      </c>
      <c r="V15">
        <f>HYPERLINK("https://klasma.github.io/Logging_1486/klagomål/A 57107-2020 FSC-klagomål.docx", "A 57107-2020")</f>
        <v/>
      </c>
      <c r="W15">
        <f>HYPERLINK("https://klasma.github.io/Logging_1486/klagomålsmail/A 57107-2020 FSC-klagomål mail.docx", "A 57107-2020")</f>
        <v/>
      </c>
      <c r="X15">
        <f>HYPERLINK("https://klasma.github.io/Logging_1486/tillsyn/A 57107-2020 tillsynsbegäran.docx", "A 57107-2020")</f>
        <v/>
      </c>
      <c r="Y15">
        <f>HYPERLINK("https://klasma.github.io/Logging_1486/tillsynsmail/A 57107-2020 tillsynsbegäran mail.docx", "A 57107-2020")</f>
        <v/>
      </c>
    </row>
    <row r="16" ht="15" customHeight="1">
      <c r="A16" t="inlineStr">
        <is>
          <t>A 14449-2024</t>
        </is>
      </c>
      <c r="B16" s="1" t="n">
        <v>45394</v>
      </c>
      <c r="C16" s="1" t="n">
        <v>45850</v>
      </c>
      <c r="D16" t="inlineStr">
        <is>
          <t>VÄSTRA GÖTALANDS LÄN</t>
        </is>
      </c>
      <c r="E16" t="inlineStr">
        <is>
          <t>STRÖMSTAD</t>
        </is>
      </c>
      <c r="G16" t="n">
        <v>1.2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Grönpyrola</t>
        </is>
      </c>
      <c r="S16">
        <f>HYPERLINK("https://klasma.github.io/Logging_1486/artfynd/A 14449-2024 artfynd.xlsx", "A 14449-2024")</f>
        <v/>
      </c>
      <c r="T16">
        <f>HYPERLINK("https://klasma.github.io/Logging_1486/kartor/A 14449-2024 karta.png", "A 14449-2024")</f>
        <v/>
      </c>
      <c r="U16">
        <f>HYPERLINK("https://klasma.github.io/Logging_1486/knärot/A 14449-2024 karta knärot.png", "A 14449-2024")</f>
        <v/>
      </c>
      <c r="V16">
        <f>HYPERLINK("https://klasma.github.io/Logging_1486/klagomål/A 14449-2024 FSC-klagomål.docx", "A 14449-2024")</f>
        <v/>
      </c>
      <c r="W16">
        <f>HYPERLINK("https://klasma.github.io/Logging_1486/klagomålsmail/A 14449-2024 FSC-klagomål mail.docx", "A 14449-2024")</f>
        <v/>
      </c>
      <c r="X16">
        <f>HYPERLINK("https://klasma.github.io/Logging_1486/tillsyn/A 14449-2024 tillsynsbegäran.docx", "A 14449-2024")</f>
        <v/>
      </c>
      <c r="Y16">
        <f>HYPERLINK("https://klasma.github.io/Logging_1486/tillsynsmail/A 14449-2024 tillsynsbegäran mail.docx", "A 14449-2024")</f>
        <v/>
      </c>
      <c r="Z16">
        <f>HYPERLINK("https://klasma.github.io/Logging_1486/fåglar/A 14449-2024 prioriterade fågelarter.docx", "A 14449-2024")</f>
        <v/>
      </c>
    </row>
    <row r="17" ht="15" customHeight="1">
      <c r="A17" t="inlineStr">
        <is>
          <t>A 33273-2021</t>
        </is>
      </c>
      <c r="B17" s="1" t="n">
        <v>44377</v>
      </c>
      <c r="C17" s="1" t="n">
        <v>45850</v>
      </c>
      <c r="D17" t="inlineStr">
        <is>
          <t>VÄSTRA GÖTALANDS LÄN</t>
        </is>
      </c>
      <c r="E17" t="inlineStr">
        <is>
          <t>STRÖMSTAD</t>
        </is>
      </c>
      <c r="G17" t="n">
        <v>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Revlummer</t>
        </is>
      </c>
      <c r="S17">
        <f>HYPERLINK("https://klasma.github.io/Logging_1486/artfynd/A 33273-2021 artfynd.xlsx", "A 33273-2021")</f>
        <v/>
      </c>
      <c r="T17">
        <f>HYPERLINK("https://klasma.github.io/Logging_1486/kartor/A 33273-2021 karta.png", "A 33273-2021")</f>
        <v/>
      </c>
      <c r="V17">
        <f>HYPERLINK("https://klasma.github.io/Logging_1486/klagomål/A 33273-2021 FSC-klagomål.docx", "A 33273-2021")</f>
        <v/>
      </c>
      <c r="W17">
        <f>HYPERLINK("https://klasma.github.io/Logging_1486/klagomålsmail/A 33273-2021 FSC-klagomål mail.docx", "A 33273-2021")</f>
        <v/>
      </c>
      <c r="X17">
        <f>HYPERLINK("https://klasma.github.io/Logging_1486/tillsyn/A 33273-2021 tillsynsbegäran.docx", "A 33273-2021")</f>
        <v/>
      </c>
      <c r="Y17">
        <f>HYPERLINK("https://klasma.github.io/Logging_1486/tillsynsmail/A 33273-2021 tillsynsbegäran mail.docx", "A 33273-2021")</f>
        <v/>
      </c>
    </row>
    <row r="18" ht="15" customHeight="1">
      <c r="A18" t="inlineStr">
        <is>
          <t>A 4173-2022</t>
        </is>
      </c>
      <c r="B18" s="1" t="n">
        <v>44588</v>
      </c>
      <c r="C18" s="1" t="n">
        <v>45850</v>
      </c>
      <c r="D18" t="inlineStr">
        <is>
          <t>VÄSTRA GÖTALANDS LÄN</t>
        </is>
      </c>
      <c r="E18" t="inlineStr">
        <is>
          <t>STRÖMSTAD</t>
        </is>
      </c>
      <c r="G18" t="n">
        <v>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HYPERLINK("https://klasma.github.io/Logging_1486/artfynd/A 4173-2022 artfynd.xlsx", "A 4173-2022")</f>
        <v/>
      </c>
      <c r="T18">
        <f>HYPERLINK("https://klasma.github.io/Logging_1486/kartor/A 4173-2022 karta.png", "A 4173-2022")</f>
        <v/>
      </c>
      <c r="V18">
        <f>HYPERLINK("https://klasma.github.io/Logging_1486/klagomål/A 4173-2022 FSC-klagomål.docx", "A 4173-2022")</f>
        <v/>
      </c>
      <c r="W18">
        <f>HYPERLINK("https://klasma.github.io/Logging_1486/klagomålsmail/A 4173-2022 FSC-klagomål mail.docx", "A 4173-2022")</f>
        <v/>
      </c>
      <c r="X18">
        <f>HYPERLINK("https://klasma.github.io/Logging_1486/tillsyn/A 4173-2022 tillsynsbegäran.docx", "A 4173-2022")</f>
        <v/>
      </c>
      <c r="Y18">
        <f>HYPERLINK("https://klasma.github.io/Logging_1486/tillsynsmail/A 4173-2022 tillsynsbegäran mail.docx", "A 4173-2022")</f>
        <v/>
      </c>
      <c r="Z18">
        <f>HYPERLINK("https://klasma.github.io/Logging_1486/fåglar/A 4173-2022 prioriterade fågelarter.docx", "A 4173-2022")</f>
        <v/>
      </c>
    </row>
    <row r="19" ht="15" customHeight="1">
      <c r="A19" t="inlineStr">
        <is>
          <t>A 35326-2023</t>
        </is>
      </c>
      <c r="B19" s="1" t="n">
        <v>45146</v>
      </c>
      <c r="C19" s="1" t="n">
        <v>45850</v>
      </c>
      <c r="D19" t="inlineStr">
        <is>
          <t>VÄSTRA GÖTALANDS LÄN</t>
        </is>
      </c>
      <c r="E19" t="inlineStr">
        <is>
          <t>STRÖMSTAD</t>
        </is>
      </c>
      <c r="G19" t="n">
        <v>6.3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Kungsfågel</t>
        </is>
      </c>
      <c r="S19">
        <f>HYPERLINK("https://klasma.github.io/Logging_1486/artfynd/A 35326-2023 artfynd.xlsx", "A 35326-2023")</f>
        <v/>
      </c>
      <c r="T19">
        <f>HYPERLINK("https://klasma.github.io/Logging_1486/kartor/A 35326-2023 karta.png", "A 35326-2023")</f>
        <v/>
      </c>
      <c r="V19">
        <f>HYPERLINK("https://klasma.github.io/Logging_1486/klagomål/A 35326-2023 FSC-klagomål.docx", "A 35326-2023")</f>
        <v/>
      </c>
      <c r="W19">
        <f>HYPERLINK("https://klasma.github.io/Logging_1486/klagomålsmail/A 35326-2023 FSC-klagomål mail.docx", "A 35326-2023")</f>
        <v/>
      </c>
      <c r="X19">
        <f>HYPERLINK("https://klasma.github.io/Logging_1486/tillsyn/A 35326-2023 tillsynsbegäran.docx", "A 35326-2023")</f>
        <v/>
      </c>
      <c r="Y19">
        <f>HYPERLINK("https://klasma.github.io/Logging_1486/tillsynsmail/A 35326-2023 tillsynsbegäran mail.docx", "A 35326-2023")</f>
        <v/>
      </c>
      <c r="Z19">
        <f>HYPERLINK("https://klasma.github.io/Logging_1486/fåglar/A 35326-2023 prioriterade fågelarter.docx", "A 35326-2023")</f>
        <v/>
      </c>
    </row>
    <row r="20" ht="15" customHeight="1">
      <c r="A20" t="inlineStr">
        <is>
          <t>A 57511-2023</t>
        </is>
      </c>
      <c r="B20" s="1" t="n">
        <v>45242</v>
      </c>
      <c r="C20" s="1" t="n">
        <v>45850</v>
      </c>
      <c r="D20" t="inlineStr">
        <is>
          <t>VÄSTRA GÖTALANDS LÄN</t>
        </is>
      </c>
      <c r="E20" t="inlineStr">
        <is>
          <t>STRÖMSTAD</t>
        </is>
      </c>
      <c r="G20" t="n">
        <v>5.7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HYPERLINK("https://klasma.github.io/Logging_1486/artfynd/A 57511-2023 artfynd.xlsx", "A 57511-2023")</f>
        <v/>
      </c>
      <c r="T20">
        <f>HYPERLINK("https://klasma.github.io/Logging_1486/kartor/A 57511-2023 karta.png", "A 57511-2023")</f>
        <v/>
      </c>
      <c r="U20">
        <f>HYPERLINK("https://klasma.github.io/Logging_1486/knärot/A 57511-2023 karta knärot.png", "A 57511-2023")</f>
        <v/>
      </c>
      <c r="V20">
        <f>HYPERLINK("https://klasma.github.io/Logging_1486/klagomål/A 57511-2023 FSC-klagomål.docx", "A 57511-2023")</f>
        <v/>
      </c>
      <c r="W20">
        <f>HYPERLINK("https://klasma.github.io/Logging_1486/klagomålsmail/A 57511-2023 FSC-klagomål mail.docx", "A 57511-2023")</f>
        <v/>
      </c>
      <c r="X20">
        <f>HYPERLINK("https://klasma.github.io/Logging_1486/tillsyn/A 57511-2023 tillsynsbegäran.docx", "A 57511-2023")</f>
        <v/>
      </c>
      <c r="Y20">
        <f>HYPERLINK("https://klasma.github.io/Logging_1486/tillsynsmail/A 57511-2023 tillsynsbegäran mail.docx", "A 57511-2023")</f>
        <v/>
      </c>
      <c r="Z20">
        <f>HYPERLINK("https://klasma.github.io/Logging_1486/fåglar/A 57511-2023 prioriterade fågelarter.docx", "A 57511-2023")</f>
        <v/>
      </c>
    </row>
    <row r="21" ht="15" customHeight="1">
      <c r="A21" t="inlineStr">
        <is>
          <t>A 59406-2024</t>
        </is>
      </c>
      <c r="B21" s="1" t="n">
        <v>45638</v>
      </c>
      <c r="C21" s="1" t="n">
        <v>45850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11.9</v>
      </c>
      <c r="H21" t="n">
        <v>2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Hasselsnok
Sandödla</t>
        </is>
      </c>
      <c r="S21">
        <f>HYPERLINK("https://klasma.github.io/Logging_1486/artfynd/A 59406-2024 artfynd.xlsx", "A 59406-2024")</f>
        <v/>
      </c>
      <c r="T21">
        <f>HYPERLINK("https://klasma.github.io/Logging_1486/kartor/A 59406-2024 karta.png", "A 59406-2024")</f>
        <v/>
      </c>
      <c r="V21">
        <f>HYPERLINK("https://klasma.github.io/Logging_1486/klagomål/A 59406-2024 FSC-klagomål.docx", "A 59406-2024")</f>
        <v/>
      </c>
      <c r="W21">
        <f>HYPERLINK("https://klasma.github.io/Logging_1486/klagomålsmail/A 59406-2024 FSC-klagomål mail.docx", "A 59406-2024")</f>
        <v/>
      </c>
      <c r="X21">
        <f>HYPERLINK("https://klasma.github.io/Logging_1486/tillsyn/A 59406-2024 tillsynsbegäran.docx", "A 59406-2024")</f>
        <v/>
      </c>
      <c r="Y21">
        <f>HYPERLINK("https://klasma.github.io/Logging_1486/tillsynsmail/A 59406-2024 tillsynsbegäran mail.docx", "A 59406-2024")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45850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45850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45850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45850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45850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45850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45850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45850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45850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45850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45850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45850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45850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45850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45850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45850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45850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45850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45850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45850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45850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45850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45850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45850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45850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45850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45850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45850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45850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45850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45850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45850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45850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45850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45850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45850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45850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45850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45850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45850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45850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45850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45850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45850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45850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45850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45850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45850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45850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45850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45850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45850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45850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45850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45850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45850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45850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45850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45850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45850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45850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45850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45850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45850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45850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45850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45850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45850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45850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45850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45850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45850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45850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45850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45850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45850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45850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45850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45850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45850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45850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45850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45850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45850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45850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45850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45850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45850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45850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45850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45850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45850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45850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45850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45850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45850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45850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45850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45850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45850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45850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45850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45850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45850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45850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45850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45850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45850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45850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45850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45850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45850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45850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45850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45850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45850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45850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45850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45850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45850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45850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45850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45850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45850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45850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45850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45850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45850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45850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45850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45850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45850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45850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45850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45850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45850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45850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45850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45850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45850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45850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45850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45850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45850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45850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45850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45850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45850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45850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45850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45850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45850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45850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45850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45850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45850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45850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45850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45850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45850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45850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45850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45850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45850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45850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45850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45850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45850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45850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45850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45850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45850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45850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45850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45850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45850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45850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45850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45850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45850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45850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45850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45850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45850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45850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45850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45850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45850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45850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45850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45850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45850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45850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45850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45850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45850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45850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45850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45850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45850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45850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45850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45850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45850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45850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45850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45850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45850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45850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45850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45850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45850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45850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45850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45850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45850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45850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45850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45850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45850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45850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45850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45850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45850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45850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45850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45850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45850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45850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45850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45850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45850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45850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45850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45850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45850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45850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45850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45850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45850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45850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45850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45850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45850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45850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45850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45850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45850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45850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45850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45850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45850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45850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45850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45850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45850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45850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45850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45850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45850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45850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45850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45850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45850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45850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45850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45850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45850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45850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45850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45850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45850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45850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45850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45850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45850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45850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45850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45850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45850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45850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45850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45850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45850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45850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45850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45850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45850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45850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45850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45850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45850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45850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45850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45850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45850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45850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45850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45850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45850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45850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45850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45850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45850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45850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45850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45850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45850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45850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45850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45850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45850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45850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45850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45850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45850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45850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45850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45850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45850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45850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45850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45850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45850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45850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26233-2025</t>
        </is>
      </c>
      <c r="B347" s="1" t="n">
        <v>45805</v>
      </c>
      <c r="C347" s="1" t="n">
        <v>45850</v>
      </c>
      <c r="D347" t="inlineStr">
        <is>
          <t>VÄSTRA GÖTALANDS LÄN</t>
        </is>
      </c>
      <c r="E347" t="inlineStr">
        <is>
          <t>STRÖMSTAD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45850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45850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45850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29300-2025</t>
        </is>
      </c>
      <c r="B351" s="1" t="n">
        <v>45824</v>
      </c>
      <c r="C351" s="1" t="n">
        <v>45850</v>
      </c>
      <c r="D351" t="inlineStr">
        <is>
          <t>VÄSTRA GÖTALANDS LÄN</t>
        </is>
      </c>
      <c r="E351" t="inlineStr">
        <is>
          <t>STRÖMSTAD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29308-2025</t>
        </is>
      </c>
      <c r="B352" s="1" t="n">
        <v>45824</v>
      </c>
      <c r="C352" s="1" t="n">
        <v>45850</v>
      </c>
      <c r="D352" t="inlineStr">
        <is>
          <t>VÄSTRA GÖTALANDS LÄN</t>
        </is>
      </c>
      <c r="E352" t="inlineStr">
        <is>
          <t>STRÖMSTAD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31917-2025</t>
        </is>
      </c>
      <c r="B353" s="1" t="n">
        <v>45834</v>
      </c>
      <c r="C353" s="1" t="n">
        <v>45850</v>
      </c>
      <c r="D353" t="inlineStr">
        <is>
          <t>VÄSTRA GÖTALANDS LÄN</t>
        </is>
      </c>
      <c r="E353" t="inlineStr">
        <is>
          <t>STRÖMSTAD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33559-2025</t>
        </is>
      </c>
      <c r="B354" s="1" t="n">
        <v>45841</v>
      </c>
      <c r="C354" s="1" t="n">
        <v>45850</v>
      </c>
      <c r="D354" t="inlineStr">
        <is>
          <t>VÄSTRA GÖTALANDS LÄN</t>
        </is>
      </c>
      <c r="E354" t="inlineStr">
        <is>
          <t>STRÖMSTAD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33580-2025</t>
        </is>
      </c>
      <c r="B355" s="1" t="n">
        <v>45841</v>
      </c>
      <c r="C355" s="1" t="n">
        <v>45850</v>
      </c>
      <c r="D355" t="inlineStr">
        <is>
          <t>VÄSTRA GÖTALANDS LÄN</t>
        </is>
      </c>
      <c r="E355" t="inlineStr">
        <is>
          <t>STRÖMSTAD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33555-2025</t>
        </is>
      </c>
      <c r="B356" s="1" t="n">
        <v>45841</v>
      </c>
      <c r="C356" s="1" t="n">
        <v>45850</v>
      </c>
      <c r="D356" t="inlineStr">
        <is>
          <t>VÄSTRA GÖTALANDS LÄN</t>
        </is>
      </c>
      <c r="E356" t="inlineStr">
        <is>
          <t>STRÖMSTAD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33560-2025</t>
        </is>
      </c>
      <c r="B357" s="1" t="n">
        <v>45841</v>
      </c>
      <c r="C357" s="1" t="n">
        <v>45850</v>
      </c>
      <c r="D357" t="inlineStr">
        <is>
          <t>VÄSTRA GÖTALANDS LÄN</t>
        </is>
      </c>
      <c r="E357" t="inlineStr">
        <is>
          <t>STRÖMSTAD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33564-2025</t>
        </is>
      </c>
      <c r="B358" s="1" t="n">
        <v>45841</v>
      </c>
      <c r="C358" s="1" t="n">
        <v>45850</v>
      </c>
      <c r="D358" t="inlineStr">
        <is>
          <t>VÄSTRA GÖTALANDS LÄN</t>
        </is>
      </c>
      <c r="E358" t="inlineStr">
        <is>
          <t>STRÖMSTAD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33569-2025</t>
        </is>
      </c>
      <c r="B359" s="1" t="n">
        <v>45841</v>
      </c>
      <c r="C359" s="1" t="n">
        <v>45850</v>
      </c>
      <c r="D359" t="inlineStr">
        <is>
          <t>VÄSTRA GÖTALANDS LÄN</t>
        </is>
      </c>
      <c r="E359" t="inlineStr">
        <is>
          <t>STRÖMSTAD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33586-2025</t>
        </is>
      </c>
      <c r="B360" s="1" t="n">
        <v>45841</v>
      </c>
      <c r="C360" s="1" t="n">
        <v>45850</v>
      </c>
      <c r="D360" t="inlineStr">
        <is>
          <t>VÄSTRA GÖTALANDS LÄN</t>
        </is>
      </c>
      <c r="E360" t="inlineStr">
        <is>
          <t>STRÖMSTAD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33536-2025</t>
        </is>
      </c>
      <c r="B361" s="1" t="n">
        <v>45841</v>
      </c>
      <c r="C361" s="1" t="n">
        <v>45850</v>
      </c>
      <c r="D361" t="inlineStr">
        <is>
          <t>VÄSTRA GÖTALANDS LÄN</t>
        </is>
      </c>
      <c r="E361" t="inlineStr">
        <is>
          <t>STRÖMSTAD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33566-2025</t>
        </is>
      </c>
      <c r="B362" s="1" t="n">
        <v>45841</v>
      </c>
      <c r="C362" s="1" t="n">
        <v>45850</v>
      </c>
      <c r="D362" t="inlineStr">
        <is>
          <t>VÄSTRA GÖTALANDS LÄN</t>
        </is>
      </c>
      <c r="E362" t="inlineStr">
        <is>
          <t>STRÖMSTAD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2025-07-12T19:24:28Z</dcterms:created>
  <dcterms:modified xmlns:dcterms="http://purl.org/dc/terms/" xmlns:xsi="http://www.w3.org/2001/XMLSchema-instance" xsi:type="dcterms:W3CDTF">2025-07-12T19:24:28Z</dcterms:modified>
</cp:coreProperties>
</file>