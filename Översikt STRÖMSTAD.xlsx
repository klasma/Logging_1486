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46296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6043-2024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46296</v>
      </c>
      <c r="F6" t="inlineStr">
        <is>
          <t>VÄSTRA GÖTALANDS LÄN</t>
        </is>
      </c>
      <c r="G6" t="inlineStr">
        <is>
          <t>STRÖMSTAD</t>
        </is>
      </c>
      <c r="I6" t="n">
        <v>0.7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7</v>
      </c>
      <c r="V6" s="2" t="inlineStr">
        <is>
          <t>Knärot
Grönpyrola
Revlummer</t>
        </is>
      </c>
      <c r="W6">
        <f>HYPERLINK("https://klasma.github.io/Logging_1486/artfynd/A 6043-2024 artfynd.xlsx", "A 6043-2024")</f>
        <v/>
      </c>
      <c r="X6">
        <f>HYPERLINK("https://klasma.github.io/Logging_1486/kartor/A 6043-2024 karta.png", "A 6043-2024")</f>
        <v/>
      </c>
      <c r="Y6">
        <f>HYPERLINK("https://klasma.github.io/Logging_1486/kartor_geotiff/A 6043-2024 georefererad karta.tif", "A 6043-2024")</f>
        <v/>
      </c>
      <c r="Z6">
        <f>HYPERLINK("https://klasma.github.io/Logging_1486/knärot/A 6043-2024 karta knärot.png", "A 6043-2024")</f>
        <v/>
      </c>
      <c r="AA6">
        <f>HYPERLINK("https://klasma.github.io/Logging_1486/klagomål/A 6043-2024 FSC-klagomål.docx", "A 6043-2024")</f>
        <v/>
      </c>
      <c r="AB6">
        <f>HYPERLINK("https://klasma.github.io/Logging_1486/klagomålsmail/A 6043-2024 FSC-klagomål mail.docx", "A 6043-2024")</f>
        <v/>
      </c>
      <c r="AC6">
        <f>HYPERLINK("https://klasma.github.io/Logging_1486/tillsyn/A 6043-2024 tillsynsbegäran.docx", "A 6043-2024")</f>
        <v/>
      </c>
      <c r="AD6">
        <f>HYPERLINK("https://klasma.github.io/Logging_1486/tillsynsmail/A 6043-2024 tillsynsbegäran mail.docx", "A 6043-2024")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46296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46296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46296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46296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46296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46296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46296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46296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46296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46296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46296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46296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46296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46296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12779-2025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46296</v>
      </c>
      <c r="F23" t="inlineStr">
        <is>
          <t>VÄSTRA GÖTALANDS LÄN</t>
        </is>
      </c>
      <c r="G23" t="inlineStr">
        <is>
          <t>STRÖMSTAD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HYPERLINK("https://klasma.github.io/Logging_1486/artfynd/A 12779-2025 artfynd.xlsx", "A 12779-2025")</f>
        <v/>
      </c>
      <c r="X23">
        <f>HYPERLINK("https://klasma.github.io/Logging_1486/kartor/A 12779-2025 karta.png", "A 12779-2025")</f>
        <v/>
      </c>
      <c r="Y23">
        <f>HYPERLINK("https://klasma.github.io/Logging_1486/kartor_geotiff/A 12779-2025 georefererad karta.tif", "A 12779-2025")</f>
        <v/>
      </c>
      <c r="AA23">
        <f>HYPERLINK("https://klasma.github.io/Logging_1486/klagomål/A 12779-2025 FSC-klagomål.docx", "A 12779-2025")</f>
        <v/>
      </c>
      <c r="AB23">
        <f>HYPERLINK("https://klasma.github.io/Logging_1486/klagomålsmail/A 12779-2025 FSC-klagomål mail.docx", "A 12779-2025")</f>
        <v/>
      </c>
      <c r="AC23">
        <f>HYPERLINK("https://klasma.github.io/Logging_1486/tillsyn/A 12779-2025 tillsynsbegäran.docx", "A 12779-2025")</f>
        <v/>
      </c>
      <c r="AD23">
        <f>HYPERLINK("https://klasma.github.io/Logging_1486/tillsynsmail/A 12779-2025 tillsynsbegäran mail.docx", "A 12779-2025")</f>
        <v/>
      </c>
      <c r="AE23">
        <f>HYPERLINK("https://klasma.github.io/Logging_1486/fåglar/A 12779-2025 prioriterade fågelarter.docx", "A 12779-2025")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46296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46296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46296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46296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46296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46296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46296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46296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46296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46296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46296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46296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46296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46296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44865</v>
      </c>
      <c r="E40" s="1" t="n">
        <v>46296</v>
      </c>
      <c r="F40" t="inlineStr">
        <is>
          <t>VÄSTRA GÖTALANDS LÄN</t>
        </is>
      </c>
      <c r="G40" t="inlineStr">
        <is>
          <t>STRÖMSTAD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30731-2022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46296</v>
      </c>
      <c r="F41" t="inlineStr">
        <is>
          <t>VÄSTRA GÖTALANDS LÄN</t>
        </is>
      </c>
      <c r="G41" t="inlineStr">
        <is>
          <t>STRÖMSTAD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46296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46296</v>
      </c>
      <c r="F43" t="inlineStr">
        <is>
          <t>VÄSTRA GÖTALANDS LÄN</t>
        </is>
      </c>
      <c r="G43" t="inlineStr">
        <is>
          <t>STRÖMSTAD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44526</v>
      </c>
      <c r="E44" s="1" t="n">
        <v>46296</v>
      </c>
      <c r="F44" t="inlineStr">
        <is>
          <t>VÄSTRA GÖTALANDS LÄN</t>
        </is>
      </c>
      <c r="G44" t="inlineStr">
        <is>
          <t>STRÖMSTAD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44851</v>
      </c>
      <c r="E45" s="1" t="n">
        <v>46296</v>
      </c>
      <c r="F45" t="inlineStr">
        <is>
          <t>VÄSTRA GÖTALANDS LÄN</t>
        </is>
      </c>
      <c r="G45" t="inlineStr">
        <is>
          <t>STRÖMSTAD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23819-2022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44722</v>
      </c>
      <c r="E46" s="1" t="n">
        <v>46296</v>
      </c>
      <c r="F46" t="inlineStr">
        <is>
          <t>VÄSTRA GÖTALANDS LÄN</t>
        </is>
      </c>
      <c r="G46" t="inlineStr">
        <is>
          <t>STRÖMSTAD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46296</v>
      </c>
      <c r="F47" t="inlineStr">
        <is>
          <t>VÄSTRA GÖTALANDS LÄN</t>
        </is>
      </c>
      <c r="G47" t="inlineStr">
        <is>
          <t>STRÖMSTAD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68243-2021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44525</v>
      </c>
      <c r="E48" s="1" t="n">
        <v>46296</v>
      </c>
      <c r="F48" t="inlineStr">
        <is>
          <t>VÄSTRA GÖTALANDS LÄN</t>
        </is>
      </c>
      <c r="G48" t="inlineStr">
        <is>
          <t>STRÖMSTAD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46296</v>
      </c>
      <c r="F49" t="inlineStr">
        <is>
          <t>VÄSTRA GÖTALANDS LÄN</t>
        </is>
      </c>
      <c r="G49" t="inlineStr">
        <is>
          <t>STRÖMSTAD</t>
        </is>
      </c>
      <c r="H49" t="inlineStr">
        <is>
          <t>Kommuner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44588</v>
      </c>
      <c r="E50" s="1" t="n">
        <v>46296</v>
      </c>
      <c r="F50" t="inlineStr">
        <is>
          <t>VÄSTRA GÖTALANDS LÄN</t>
        </is>
      </c>
      <c r="G50" t="inlineStr">
        <is>
          <t>STRÖMSTAD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46296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19134-2025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45764</v>
      </c>
      <c r="E52" s="1" t="n">
        <v>46296</v>
      </c>
      <c r="F52" t="inlineStr">
        <is>
          <t>VÄSTRA GÖTALANDS LÄN</t>
        </is>
      </c>
      <c r="G52" t="inlineStr">
        <is>
          <t>STRÖMSTAD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50603-2024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45600</v>
      </c>
      <c r="E53" s="1" t="n">
        <v>46296</v>
      </c>
      <c r="F53" t="inlineStr">
        <is>
          <t>VÄSTRA GÖTALANDS LÄN</t>
        </is>
      </c>
      <c r="G53" t="inlineStr">
        <is>
          <t>STRÖMSTAD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46296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45126</v>
      </c>
      <c r="E55" s="1" t="n">
        <v>46296</v>
      </c>
      <c r="F55" t="inlineStr">
        <is>
          <t>VÄSTRA GÖTALANDS LÄN</t>
        </is>
      </c>
      <c r="G55" t="inlineStr">
        <is>
          <t>STRÖMSTAD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45548</v>
      </c>
      <c r="E56" s="1" t="n">
        <v>46296</v>
      </c>
      <c r="F56" t="inlineStr">
        <is>
          <t>VÄSTRA GÖTALANDS LÄN</t>
        </is>
      </c>
      <c r="G56" t="inlineStr">
        <is>
          <t>STRÖMSTAD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46296</v>
      </c>
      <c r="F57" t="inlineStr">
        <is>
          <t>VÄSTRA GÖTALANDS LÄN</t>
        </is>
      </c>
      <c r="G57" t="inlineStr">
        <is>
          <t>STRÖMSTAD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46296</v>
      </c>
      <c r="F58" t="inlineStr">
        <is>
          <t>VÄSTRA GÖTALANDS LÄN</t>
        </is>
      </c>
      <c r="G58" t="inlineStr">
        <is>
          <t>STRÖMSTAD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46296</v>
      </c>
      <c r="F59" t="inlineStr">
        <is>
          <t>VÄSTRA GÖTALANDS LÄN</t>
        </is>
      </c>
      <c r="G59" t="inlineStr">
        <is>
          <t>STRÖMSTAD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45547</v>
      </c>
      <c r="E60" s="1" t="n">
        <v>46296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45646</v>
      </c>
      <c r="E61" s="1" t="n">
        <v>46296</v>
      </c>
      <c r="F61" t="inlineStr">
        <is>
          <t>VÄSTRA GÖTALANDS LÄN</t>
        </is>
      </c>
      <c r="G61" t="inlineStr">
        <is>
          <t>STRÖMSTAD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15559-2023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46296</v>
      </c>
      <c r="F62" t="inlineStr">
        <is>
          <t>VÄSTRA GÖTALANDS LÄN</t>
        </is>
      </c>
      <c r="G62" t="inlineStr">
        <is>
          <t>STRÖMSTAD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45057</v>
      </c>
      <c r="E63" s="1" t="n">
        <v>46296</v>
      </c>
      <c r="F63" t="inlineStr">
        <is>
          <t>VÄSTRA GÖTALANDS LÄN</t>
        </is>
      </c>
      <c r="G63" t="inlineStr">
        <is>
          <t>STRÖMSTAD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46296</v>
      </c>
      <c r="F64" t="inlineStr">
        <is>
          <t>VÄSTRA GÖTALANDS LÄN</t>
        </is>
      </c>
      <c r="G64" t="inlineStr">
        <is>
          <t>STRÖMSTAD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46296</v>
      </c>
      <c r="F65" t="inlineStr">
        <is>
          <t>VÄSTRA GÖTALANDS LÄN</t>
        </is>
      </c>
      <c r="G65" t="inlineStr">
        <is>
          <t>STRÖMSTAD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45133</v>
      </c>
      <c r="E66" s="1" t="n">
        <v>46296</v>
      </c>
      <c r="F66" t="inlineStr">
        <is>
          <t>VÄSTRA GÖTALANDS LÄN</t>
        </is>
      </c>
      <c r="G66" t="inlineStr">
        <is>
          <t>STRÖMSTAD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45316</v>
      </c>
      <c r="E67" s="1" t="n">
        <v>46296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46296</v>
      </c>
      <c r="F68" t="inlineStr">
        <is>
          <t>VÄSTRA GÖTALANDS LÄN</t>
        </is>
      </c>
      <c r="G68" t="inlineStr">
        <is>
          <t>STRÖMSTAD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45632-2024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45579</v>
      </c>
      <c r="E69" s="1" t="n">
        <v>46296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Kyrkan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56024-2023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45240</v>
      </c>
      <c r="E70" s="1" t="n">
        <v>46296</v>
      </c>
      <c r="F70" t="inlineStr">
        <is>
          <t>VÄSTRA GÖTALANDS LÄN</t>
        </is>
      </c>
      <c r="G70" t="inlineStr">
        <is>
          <t>STRÖMSTAD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46296</v>
      </c>
      <c r="F71" t="inlineStr">
        <is>
          <t>VÄSTRA GÖTALANDS LÄN</t>
        </is>
      </c>
      <c r="G71" t="inlineStr">
        <is>
          <t>STRÖMSTAD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46296</v>
      </c>
      <c r="F72" t="inlineStr">
        <is>
          <t>VÄSTRA GÖTALANDS LÄN</t>
        </is>
      </c>
      <c r="G72" t="inlineStr">
        <is>
          <t>STRÖMSTAD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46296</v>
      </c>
      <c r="F73" t="inlineStr">
        <is>
          <t>VÄSTRA GÖTALANDS LÄN</t>
        </is>
      </c>
      <c r="G73" t="inlineStr">
        <is>
          <t>STRÖMSTAD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45301</v>
      </c>
      <c r="E74" s="1" t="n">
        <v>46296</v>
      </c>
      <c r="F74" t="inlineStr">
        <is>
          <t>VÄSTRA GÖTALANDS LÄN</t>
        </is>
      </c>
      <c r="G74" t="inlineStr">
        <is>
          <t>STRÖMSTAD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46296</v>
      </c>
      <c r="F75" t="inlineStr">
        <is>
          <t>VÄSTRA GÖTALANDS LÄN</t>
        </is>
      </c>
      <c r="G75" t="inlineStr">
        <is>
          <t>STRÖMSTAD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46296</v>
      </c>
      <c r="F76" t="inlineStr">
        <is>
          <t>VÄSTRA GÖTALANDS LÄN</t>
        </is>
      </c>
      <c r="G76" t="inlineStr">
        <is>
          <t>STRÖMSTAD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46296</v>
      </c>
      <c r="F77" t="inlineStr">
        <is>
          <t>VÄSTRA GÖTALANDS LÄN</t>
        </is>
      </c>
      <c r="G77" t="inlineStr">
        <is>
          <t>STRÖMSTAD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45316</v>
      </c>
      <c r="E78" s="1" t="n">
        <v>46296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Kommuner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45033</v>
      </c>
      <c r="E79" s="1" t="n">
        <v>46296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46296</v>
      </c>
      <c r="F80" t="inlineStr">
        <is>
          <t>VÄSTRA GÖTALANDS LÄN</t>
        </is>
      </c>
      <c r="G80" t="inlineStr">
        <is>
          <t>STRÖMSTAD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46296</v>
      </c>
      <c r="F81" t="inlineStr">
        <is>
          <t>VÄSTRA GÖTALANDS LÄN</t>
        </is>
      </c>
      <c r="G81" t="inlineStr">
        <is>
          <t>STRÖMSTAD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46296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46296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46296</v>
      </c>
      <c r="F84" t="inlineStr">
        <is>
          <t>VÄSTRA GÖTALANDS LÄN</t>
        </is>
      </c>
      <c r="G84" t="inlineStr">
        <is>
          <t>STRÖMSTAD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55712-2022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44885</v>
      </c>
      <c r="E85" s="1" t="n">
        <v>46296</v>
      </c>
      <c r="F85" t="inlineStr">
        <is>
          <t>VÄSTRA GÖTALANDS LÄN</t>
        </is>
      </c>
      <c r="G85" t="inlineStr">
        <is>
          <t>STRÖMSTAD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8047-2024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45351</v>
      </c>
      <c r="E86" s="1" t="n">
        <v>46296</v>
      </c>
      <c r="F86" t="inlineStr">
        <is>
          <t>VÄSTRA GÖTALANDS LÄN</t>
        </is>
      </c>
      <c r="G86" t="inlineStr">
        <is>
          <t>STRÖMSTAD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46296</v>
      </c>
      <c r="F87" t="inlineStr">
        <is>
          <t>VÄSTRA GÖTALANDS LÄN</t>
        </is>
      </c>
      <c r="G87" t="inlineStr">
        <is>
          <t>STRÖMSTAD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45331</v>
      </c>
      <c r="E88" s="1" t="n">
        <v>46296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46296</v>
      </c>
      <c r="F89" t="inlineStr">
        <is>
          <t>VÄSTRA GÖTALANDS LÄN</t>
        </is>
      </c>
      <c r="G89" t="inlineStr">
        <is>
          <t>STRÖMSTAD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56130-2022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46296</v>
      </c>
      <c r="F90" t="inlineStr">
        <is>
          <t>VÄSTRA GÖTALANDS LÄN</t>
        </is>
      </c>
      <c r="G90" t="inlineStr">
        <is>
          <t>STRÖMSTAD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45440</v>
      </c>
      <c r="E91" s="1" t="n">
        <v>46296</v>
      </c>
      <c r="F91" t="inlineStr">
        <is>
          <t>VÄSTRA GÖTALANDS LÄN</t>
        </is>
      </c>
      <c r="G91" t="inlineStr">
        <is>
          <t>STRÖMSTAD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46296</v>
      </c>
      <c r="F92" t="inlineStr">
        <is>
          <t>VÄSTRA GÖTALANDS LÄN</t>
        </is>
      </c>
      <c r="G92" t="inlineStr">
        <is>
          <t>STRÖMSTAD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46296</v>
      </c>
      <c r="F93" t="inlineStr">
        <is>
          <t>VÄSTRA GÖTALANDS LÄN</t>
        </is>
      </c>
      <c r="G93" t="inlineStr">
        <is>
          <t>STRÖMSTAD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45482</v>
      </c>
      <c r="E94" s="1" t="n">
        <v>46296</v>
      </c>
      <c r="F94" t="inlineStr">
        <is>
          <t>VÄSTRA GÖTALANDS LÄN</t>
        </is>
      </c>
      <c r="G94" t="inlineStr">
        <is>
          <t>STRÖMSTAD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46296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46296</v>
      </c>
      <c r="F96" t="inlineStr">
        <is>
          <t>VÄSTRA GÖTALANDS LÄN</t>
        </is>
      </c>
      <c r="G96" t="inlineStr">
        <is>
          <t>STRÖMSTAD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46296</v>
      </c>
      <c r="F97" t="inlineStr">
        <is>
          <t>VÄSTRA GÖTALANDS LÄN</t>
        </is>
      </c>
      <c r="G97" t="inlineStr">
        <is>
          <t>STRÖMSTAD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46296</v>
      </c>
      <c r="F98" t="inlineStr">
        <is>
          <t>VÄSTRA GÖTALANDS LÄN</t>
        </is>
      </c>
      <c r="G98" t="inlineStr">
        <is>
          <t>STRÖMSTAD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45596</v>
      </c>
      <c r="E99" s="1" t="n">
        <v>46296</v>
      </c>
      <c r="F99" t="inlineStr">
        <is>
          <t>VÄSTRA GÖTALANDS LÄN</t>
        </is>
      </c>
      <c r="G99" t="inlineStr">
        <is>
          <t>STRÖMSTAD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46296</v>
      </c>
      <c r="F100" t="inlineStr">
        <is>
          <t>VÄSTRA GÖTALANDS LÄN</t>
        </is>
      </c>
      <c r="G100" t="inlineStr">
        <is>
          <t>STRÖMSTAD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44701</v>
      </c>
      <c r="E101" s="1" t="n">
        <v>46296</v>
      </c>
      <c r="F101" t="inlineStr">
        <is>
          <t>VÄSTRA GÖTALANDS LÄN</t>
        </is>
      </c>
      <c r="G101" t="inlineStr">
        <is>
          <t>STRÖMSTAD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46296</v>
      </c>
      <c r="F102" t="inlineStr">
        <is>
          <t>VÄSTRA GÖTALANDS LÄN</t>
        </is>
      </c>
      <c r="G102" t="inlineStr">
        <is>
          <t>STRÖMSTAD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46296</v>
      </c>
      <c r="F103" t="inlineStr">
        <is>
          <t>VÄSTRA GÖTALANDS LÄN</t>
        </is>
      </c>
      <c r="G103" t="inlineStr">
        <is>
          <t>STRÖMSTAD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45579</v>
      </c>
      <c r="E104" s="1" t="n">
        <v>46296</v>
      </c>
      <c r="F104" t="inlineStr">
        <is>
          <t>VÄSTRA GÖTALANDS LÄN</t>
        </is>
      </c>
      <c r="G104" t="inlineStr">
        <is>
          <t>STRÖMSTAD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45739</v>
      </c>
      <c r="E105" s="1" t="n">
        <v>46296</v>
      </c>
      <c r="F105" t="inlineStr">
        <is>
          <t>VÄSTRA GÖTALANDS LÄN</t>
        </is>
      </c>
      <c r="G105" t="inlineStr">
        <is>
          <t>STRÖMSTAD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46296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46296</v>
      </c>
      <c r="F107" t="inlineStr">
        <is>
          <t>VÄSTRA GÖTALANDS LÄN</t>
        </is>
      </c>
      <c r="G107" t="inlineStr">
        <is>
          <t>STRÖMSTAD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46296</v>
      </c>
      <c r="F108" t="inlineStr">
        <is>
          <t>VÄSTRA GÖTALANDS LÄN</t>
        </is>
      </c>
      <c r="G108" t="inlineStr">
        <is>
          <t>STRÖMSTAD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45728</v>
      </c>
      <c r="E109" s="1" t="n">
        <v>46296</v>
      </c>
      <c r="F109" t="inlineStr">
        <is>
          <t>VÄSTRA GÖTALANDS LÄN</t>
        </is>
      </c>
      <c r="G109" t="inlineStr">
        <is>
          <t>STRÖMSTAD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46296</v>
      </c>
      <c r="F110" t="inlineStr">
        <is>
          <t>VÄSTRA GÖTALANDS LÄN</t>
        </is>
      </c>
      <c r="G110" t="inlineStr">
        <is>
          <t>STRÖMSTAD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46296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46296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44763</v>
      </c>
      <c r="E113" s="1" t="n">
        <v>46296</v>
      </c>
      <c r="F113" t="inlineStr">
        <is>
          <t>VÄSTRA GÖTALANDS LÄN</t>
        </is>
      </c>
      <c r="G113" t="inlineStr">
        <is>
          <t>STRÖMSTAD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46296</v>
      </c>
      <c r="F114" t="inlineStr">
        <is>
          <t>VÄSTRA GÖTALANDS LÄN</t>
        </is>
      </c>
      <c r="G114" t="inlineStr">
        <is>
          <t>STRÖMSTAD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46296</v>
      </c>
      <c r="F115" t="inlineStr">
        <is>
          <t>VÄSTRA GÖTALANDS LÄN</t>
        </is>
      </c>
      <c r="G115" t="inlineStr">
        <is>
          <t>STRÖMSTAD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46296</v>
      </c>
      <c r="F116" t="inlineStr">
        <is>
          <t>VÄSTRA GÖTALANDS LÄN</t>
        </is>
      </c>
      <c r="G116" t="inlineStr">
        <is>
          <t>STRÖMSTAD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46296</v>
      </c>
      <c r="F117" t="inlineStr">
        <is>
          <t>VÄSTRA GÖTALANDS LÄN</t>
        </is>
      </c>
      <c r="G117" t="inlineStr">
        <is>
          <t>STRÖMSTAD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46296</v>
      </c>
      <c r="F118" t="inlineStr">
        <is>
          <t>VÄSTRA GÖTALANDS LÄN</t>
        </is>
      </c>
      <c r="G118" t="inlineStr">
        <is>
          <t>STRÖMSTAD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45482</v>
      </c>
      <c r="E119" s="1" t="n">
        <v>46296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46296</v>
      </c>
      <c r="F120" t="inlineStr">
        <is>
          <t>VÄSTRA GÖTALANDS LÄN</t>
        </is>
      </c>
      <c r="G120" t="inlineStr">
        <is>
          <t>STRÖMSTAD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45318</v>
      </c>
      <c r="E121" s="1" t="n">
        <v>46296</v>
      </c>
      <c r="F121" t="inlineStr">
        <is>
          <t>VÄSTRA GÖTALANDS LÄN</t>
        </is>
      </c>
      <c r="G121" t="inlineStr">
        <is>
          <t>STRÖMSTAD</t>
        </is>
      </c>
      <c r="H121" t="inlineStr">
        <is>
          <t>Kommuner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46296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46296</v>
      </c>
      <c r="F123" t="inlineStr">
        <is>
          <t>VÄSTRA GÖTALANDS LÄN</t>
        </is>
      </c>
      <c r="G123" t="inlineStr">
        <is>
          <t>STRÖMSTAD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46296</v>
      </c>
      <c r="F124" t="inlineStr">
        <is>
          <t>VÄSTRA GÖTALANDS LÄN</t>
        </is>
      </c>
      <c r="G124" t="inlineStr">
        <is>
          <t>STRÖMSTAD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45018</v>
      </c>
      <c r="E125" s="1" t="n">
        <v>46296</v>
      </c>
      <c r="F125" t="inlineStr">
        <is>
          <t>VÄSTRA GÖTALANDS LÄN</t>
        </is>
      </c>
      <c r="G125" t="inlineStr">
        <is>
          <t>STRÖMSTAD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46296</v>
      </c>
      <c r="F126" t="inlineStr">
        <is>
          <t>VÄSTRA GÖTALANDS LÄN</t>
        </is>
      </c>
      <c r="G126" t="inlineStr">
        <is>
          <t>STRÖMSTAD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45061</v>
      </c>
      <c r="E127" s="1" t="n">
        <v>46296</v>
      </c>
      <c r="F127" t="inlineStr">
        <is>
          <t>VÄSTRA GÖTALANDS LÄN</t>
        </is>
      </c>
      <c r="G127" t="inlineStr">
        <is>
          <t>STRÖMSTAD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52950-2022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46296</v>
      </c>
      <c r="F128" t="inlineStr">
        <is>
          <t>VÄSTRA GÖTALANDS LÄN</t>
        </is>
      </c>
      <c r="G128" t="inlineStr">
        <is>
          <t>STRÖMSTAD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45555</v>
      </c>
      <c r="E129" s="1" t="n">
        <v>46296</v>
      </c>
      <c r="F129" t="inlineStr">
        <is>
          <t>VÄSTRA GÖTALANDS LÄN</t>
        </is>
      </c>
      <c r="G129" t="inlineStr">
        <is>
          <t>STRÖMSTAD</t>
        </is>
      </c>
      <c r="I129" t="n">
        <v>14.5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46296</v>
      </c>
      <c r="F130" t="inlineStr">
        <is>
          <t>VÄSTRA GÖTALANDS LÄN</t>
        </is>
      </c>
      <c r="G130" t="inlineStr">
        <is>
          <t>STRÖMSTAD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46296</v>
      </c>
      <c r="F131" t="inlineStr">
        <is>
          <t>VÄSTRA GÖTALANDS LÄN</t>
        </is>
      </c>
      <c r="G131" t="inlineStr">
        <is>
          <t>STRÖMSTAD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46296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46296</v>
      </c>
      <c r="F133" t="inlineStr">
        <is>
          <t>VÄSTRA GÖTALANDS LÄN</t>
        </is>
      </c>
      <c r="G133" t="inlineStr">
        <is>
          <t>STRÖMSTAD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45578</v>
      </c>
      <c r="E134" s="1" t="n">
        <v>46296</v>
      </c>
      <c r="F134" t="inlineStr">
        <is>
          <t>VÄSTRA GÖTALANDS LÄN</t>
        </is>
      </c>
      <c r="G134" t="inlineStr">
        <is>
          <t>STRÖMSTAD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46296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46296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44892</v>
      </c>
      <c r="E137" s="1" t="n">
        <v>46296</v>
      </c>
      <c r="F137" t="inlineStr">
        <is>
          <t>VÄSTRA GÖTALANDS LÄN</t>
        </is>
      </c>
      <c r="G137" t="inlineStr">
        <is>
          <t>STRÖMSTAD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46296</v>
      </c>
      <c r="F138" t="inlineStr">
        <is>
          <t>VÄSTRA GÖTALANDS LÄN</t>
        </is>
      </c>
      <c r="G138" t="inlineStr">
        <is>
          <t>STRÖMSTAD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46296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46296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46296</v>
      </c>
      <c r="F141" t="inlineStr">
        <is>
          <t>VÄSTRA GÖTALANDS LÄN</t>
        </is>
      </c>
      <c r="G141" t="inlineStr">
        <is>
          <t>STRÖMSTAD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46296</v>
      </c>
      <c r="F142" t="inlineStr">
        <is>
          <t>VÄSTRA GÖTALANDS LÄN</t>
        </is>
      </c>
      <c r="G142" t="inlineStr">
        <is>
          <t>STRÖMSTAD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46296</v>
      </c>
      <c r="F143" t="inlineStr">
        <is>
          <t>VÄSTRA GÖTALANDS LÄN</t>
        </is>
      </c>
      <c r="G143" t="inlineStr">
        <is>
          <t>STRÖMSTAD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46296</v>
      </c>
      <c r="F144" t="inlineStr">
        <is>
          <t>VÄSTRA GÖTALANDS LÄN</t>
        </is>
      </c>
      <c r="G144" t="inlineStr">
        <is>
          <t>STRÖMSTAD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46296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72625-2021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44546</v>
      </c>
      <c r="E146" s="1" t="n">
        <v>46296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46296</v>
      </c>
      <c r="F147" t="inlineStr">
        <is>
          <t>VÄSTRA GÖTALANDS LÄN</t>
        </is>
      </c>
      <c r="G147" t="inlineStr">
        <is>
          <t>STRÖMSTAD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45610</v>
      </c>
      <c r="E148" s="1" t="n">
        <v>46296</v>
      </c>
      <c r="F148" t="inlineStr">
        <is>
          <t>VÄSTRA GÖTALANDS LÄN</t>
        </is>
      </c>
      <c r="G148" t="inlineStr">
        <is>
          <t>STRÖMSTAD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46296</v>
      </c>
      <c r="F149" t="inlineStr">
        <is>
          <t>VÄSTRA GÖTALANDS LÄN</t>
        </is>
      </c>
      <c r="G149" t="inlineStr">
        <is>
          <t>STRÖMSTAD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46296</v>
      </c>
      <c r="F150" t="inlineStr">
        <is>
          <t>VÄSTRA GÖTALANDS LÄN</t>
        </is>
      </c>
      <c r="G150" t="inlineStr">
        <is>
          <t>STRÖMSTAD</t>
        </is>
      </c>
      <c r="H150" t="inlineStr">
        <is>
          <t>Övriga Aktiebolag</t>
        </is>
      </c>
      <c r="I150" t="n">
        <v>14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46296</v>
      </c>
      <c r="F151" t="inlineStr">
        <is>
          <t>VÄSTRA GÖTALANDS LÄN</t>
        </is>
      </c>
      <c r="G151" t="inlineStr">
        <is>
          <t>STRÖMSTAD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46296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46296</v>
      </c>
      <c r="F153" t="inlineStr">
        <is>
          <t>VÄSTRA GÖTALANDS LÄN</t>
        </is>
      </c>
      <c r="G153" t="inlineStr">
        <is>
          <t>STRÖMSTAD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46296</v>
      </c>
      <c r="F154" t="inlineStr">
        <is>
          <t>VÄSTRA GÖTALANDS LÄN</t>
        </is>
      </c>
      <c r="G154" t="inlineStr">
        <is>
          <t>STRÖMSTAD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46296</v>
      </c>
      <c r="F155" t="inlineStr">
        <is>
          <t>VÄSTRA GÖTALANDS LÄN</t>
        </is>
      </c>
      <c r="G155" t="inlineStr">
        <is>
          <t>STRÖMSTAD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46296</v>
      </c>
      <c r="F156" t="inlineStr">
        <is>
          <t>VÄSTRA GÖTALANDS LÄN</t>
        </is>
      </c>
      <c r="G156" t="inlineStr">
        <is>
          <t>STRÖMSTAD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46296</v>
      </c>
      <c r="F157" t="inlineStr">
        <is>
          <t>VÄSTRA GÖTALANDS LÄN</t>
        </is>
      </c>
      <c r="G157" t="inlineStr">
        <is>
          <t>STRÖMSTAD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46296</v>
      </c>
      <c r="F158" t="inlineStr">
        <is>
          <t>VÄSTRA GÖTALANDS LÄN</t>
        </is>
      </c>
      <c r="G158" t="inlineStr">
        <is>
          <t>STRÖMSTAD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46296</v>
      </c>
      <c r="F159" t="inlineStr">
        <is>
          <t>VÄSTRA GÖTALANDS LÄN</t>
        </is>
      </c>
      <c r="G159" t="inlineStr">
        <is>
          <t>STRÖMSTAD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46296</v>
      </c>
      <c r="F160" t="inlineStr">
        <is>
          <t>VÄSTRA GÖTALANDS LÄN</t>
        </is>
      </c>
      <c r="G160" t="inlineStr">
        <is>
          <t>STRÖMSTAD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46296</v>
      </c>
      <c r="F161" t="inlineStr">
        <is>
          <t>VÄSTRA GÖTALANDS LÄN</t>
        </is>
      </c>
      <c r="G161" t="inlineStr">
        <is>
          <t>STRÖMSTAD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46296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46296</v>
      </c>
      <c r="F163" t="inlineStr">
        <is>
          <t>VÄSTRA GÖTALANDS LÄN</t>
        </is>
      </c>
      <c r="G163" t="inlineStr">
        <is>
          <t>STRÖMSTAD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46296</v>
      </c>
      <c r="F164" t="inlineStr">
        <is>
          <t>VÄSTRA GÖTALANDS LÄN</t>
        </is>
      </c>
      <c r="G164" t="inlineStr">
        <is>
          <t>STRÖMSTAD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46296</v>
      </c>
      <c r="F165" t="inlineStr">
        <is>
          <t>VÄSTRA GÖTALANDS LÄN</t>
        </is>
      </c>
      <c r="G165" t="inlineStr">
        <is>
          <t>STRÖMSTAD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46296</v>
      </c>
      <c r="F166" t="inlineStr">
        <is>
          <t>VÄSTRA GÖTALANDS LÄN</t>
        </is>
      </c>
      <c r="G166" t="inlineStr">
        <is>
          <t>STRÖMSTAD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46296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46063</v>
      </c>
      <c r="E168" s="1" t="n">
        <v>46296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46296</v>
      </c>
      <c r="F169" t="inlineStr">
        <is>
          <t>VÄSTRA GÖTALANDS LÄN</t>
        </is>
      </c>
      <c r="G169" t="inlineStr">
        <is>
          <t>STRÖMSTAD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46063</v>
      </c>
      <c r="E170" s="1" t="n">
        <v>46296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46296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46296</v>
      </c>
      <c r="F172" t="inlineStr">
        <is>
          <t>VÄSTRA GÖTALANDS LÄN</t>
        </is>
      </c>
      <c r="G172" t="inlineStr">
        <is>
          <t>STRÖMSTAD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46296</v>
      </c>
      <c r="F173" t="inlineStr">
        <is>
          <t>VÄSTRA GÖTALANDS LÄN</t>
        </is>
      </c>
      <c r="G173" t="inlineStr">
        <is>
          <t>STRÖMSTAD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46100</v>
      </c>
      <c r="E174" s="1" t="n">
        <v>46296</v>
      </c>
      <c r="F174" t="inlineStr">
        <is>
          <t>VÄSTRA GÖTALANDS LÄN</t>
        </is>
      </c>
      <c r="G174" t="inlineStr">
        <is>
          <t>STRÖMSTAD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46296</v>
      </c>
      <c r="F175" t="inlineStr">
        <is>
          <t>VÄSTRA GÖTALANDS LÄN</t>
        </is>
      </c>
      <c r="G175" t="inlineStr">
        <is>
          <t>STRÖMSTAD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46296</v>
      </c>
      <c r="F176" t="inlineStr">
        <is>
          <t>VÄSTRA GÖTALANDS LÄN</t>
        </is>
      </c>
      <c r="G176" t="inlineStr">
        <is>
          <t>STRÖMSTAD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46103</v>
      </c>
      <c r="E177" s="1" t="n">
        <v>46296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46296</v>
      </c>
      <c r="F178" t="inlineStr">
        <is>
          <t>VÄSTRA GÖTALANDS LÄN</t>
        </is>
      </c>
      <c r="G178" t="inlineStr">
        <is>
          <t>STRÖMSTAD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46296</v>
      </c>
      <c r="F179" t="inlineStr">
        <is>
          <t>VÄSTRA GÖTALANDS LÄN</t>
        </is>
      </c>
      <c r="G179" t="inlineStr">
        <is>
          <t>STRÖMSTAD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46296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46296</v>
      </c>
      <c r="F181" t="inlineStr">
        <is>
          <t>VÄSTRA GÖTALANDS LÄN</t>
        </is>
      </c>
      <c r="G181" t="inlineStr">
        <is>
          <t>STRÖMSTAD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46296</v>
      </c>
      <c r="F182" t="inlineStr">
        <is>
          <t>VÄSTRA GÖTALANDS LÄN</t>
        </is>
      </c>
      <c r="G182" t="inlineStr">
        <is>
          <t>STRÖMSTAD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46296</v>
      </c>
      <c r="F183" t="inlineStr">
        <is>
          <t>VÄSTRA GÖTALANDS LÄN</t>
        </is>
      </c>
      <c r="G183" t="inlineStr">
        <is>
          <t>STRÖMSTAD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46296</v>
      </c>
      <c r="F184" t="inlineStr">
        <is>
          <t>VÄSTRA GÖTALANDS LÄN</t>
        </is>
      </c>
      <c r="G184" t="inlineStr">
        <is>
          <t>STRÖMSTAD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46296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46296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46296</v>
      </c>
      <c r="F187" t="inlineStr">
        <is>
          <t>VÄSTRA GÖTALANDS LÄN</t>
        </is>
      </c>
      <c r="G187" t="inlineStr">
        <is>
          <t>STRÖMSTAD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46296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46296</v>
      </c>
      <c r="F189" t="inlineStr">
        <is>
          <t>VÄSTRA GÖTALANDS LÄN</t>
        </is>
      </c>
      <c r="G189" t="inlineStr">
        <is>
          <t>STRÖMSTAD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46296</v>
      </c>
      <c r="F190" t="inlineStr">
        <is>
          <t>VÄSTRA GÖTALANDS LÄN</t>
        </is>
      </c>
      <c r="G190" t="inlineStr">
        <is>
          <t>STRÖMSTAD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46296</v>
      </c>
      <c r="F191" t="inlineStr">
        <is>
          <t>VÄSTRA GÖTALANDS LÄN</t>
        </is>
      </c>
      <c r="G191" t="inlineStr">
        <is>
          <t>STRÖMSTAD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46296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46161</v>
      </c>
      <c r="E193" s="1" t="n">
        <v>46296</v>
      </c>
      <c r="F193" t="inlineStr">
        <is>
          <t>VÄSTRA GÖTALANDS LÄN</t>
        </is>
      </c>
      <c r="G193" t="inlineStr">
        <is>
          <t>STRÖMSTAD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46296</v>
      </c>
      <c r="F194" t="inlineStr">
        <is>
          <t>VÄSTRA GÖTALANDS LÄN</t>
        </is>
      </c>
      <c r="G194" t="inlineStr">
        <is>
          <t>STRÖMSTAD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46296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46296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46156</v>
      </c>
      <c r="E197" s="1" t="n">
        <v>46296</v>
      </c>
      <c r="F197" t="inlineStr">
        <is>
          <t>VÄSTRA GÖTALANDS LÄN</t>
        </is>
      </c>
      <c r="G197" t="inlineStr">
        <is>
          <t>STRÖMSTAD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46204</v>
      </c>
      <c r="E198" s="1" t="n">
        <v>46296</v>
      </c>
      <c r="F198" t="inlineStr">
        <is>
          <t>VÄSTRA GÖTALANDS LÄN</t>
        </is>
      </c>
      <c r="G198" t="inlineStr">
        <is>
          <t>STRÖMSTAD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46260</v>
      </c>
      <c r="E199" s="1" t="n">
        <v>46296</v>
      </c>
      <c r="F199" t="inlineStr">
        <is>
          <t>VÄSTRA GÖTALANDS LÄN</t>
        </is>
      </c>
      <c r="G199" t="inlineStr">
        <is>
          <t>STRÖMSTAD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46296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46296</v>
      </c>
      <c r="F201" t="inlineStr">
        <is>
          <t>VÄSTRA GÖTALANDS LÄN</t>
        </is>
      </c>
      <c r="G201" t="inlineStr">
        <is>
          <t>STRÖMSTAD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46279</v>
      </c>
      <c r="E202" s="1" t="n">
        <v>46296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46296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Kyrkan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46273</v>
      </c>
      <c r="E204" s="1" t="n">
        <v>46296</v>
      </c>
      <c r="F204" t="inlineStr">
        <is>
          <t>VÄSTRA GÖTALANDS LÄN</t>
        </is>
      </c>
      <c r="G204" t="inlineStr">
        <is>
          <t>STRÖMSTAD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46296</v>
      </c>
      <c r="F205" t="inlineStr">
        <is>
          <t>VÄSTRA GÖTALANDS LÄN</t>
        </is>
      </c>
      <c r="G205" t="inlineStr">
        <is>
          <t>STRÖMSTAD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46288</v>
      </c>
      <c r="E206" s="1" t="n">
        <v>46296</v>
      </c>
      <c r="F206" t="inlineStr">
        <is>
          <t>VÄSTRA GÖTALANDS LÄN</t>
        </is>
      </c>
      <c r="G206" t="inlineStr">
        <is>
          <t>STRÖMSTAD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46296</v>
      </c>
      <c r="F207" t="inlineStr">
        <is>
          <t>VÄSTRA GÖTALANDS LÄN</t>
        </is>
      </c>
      <c r="G207" t="inlineStr">
        <is>
          <t>STRÖMSTAD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46296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46296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46296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46296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2026-10-01T02:03:29Z</dcterms:created>
  <dcterms:modified xmlns:dcterms="http://purl.org/dc/terms/" xmlns:xsi="http://www.w3.org/2001/XMLSchema-instance" xsi:type="dcterms:W3CDTF">2026-10-01T02:03:29Z</dcterms:modified>
</cp:coreProperties>
</file>