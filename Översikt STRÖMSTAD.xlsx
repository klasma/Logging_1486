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46260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46260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46260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46260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46260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46260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46260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46260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46260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46260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46260</v>
      </c>
      <c r="F19" t="inlineStr">
        <is>
          <t>VÄSTRA GÖTALANDS LÄN</t>
        </is>
      </c>
      <c r="G19" t="inlineStr">
        <is>
          <t>STRÖMSTAD</t>
        </is>
      </c>
      <c r="I19" t="n">
        <v>10.6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HYPERLINK("https://klasma.github.io/Logging_1486/artfynd/A 12238-2025 artfynd.xlsx", "A 12238-2025")</f>
        <v/>
      </c>
      <c r="X19">
        <f>HYPERLINK("https://klasma.github.io/Logging_1486/kartor/A 12238-2025 karta.png", "A 12238-2025")</f>
        <v/>
      </c>
      <c r="Y19">
        <f>HYPERLINK("https://klasma.github.io/Logging_1486/kartor_geotiff/A 12238-2025 georefererad karta.tif", "A 12238-2025")</f>
        <v/>
      </c>
      <c r="AA19">
        <f>HYPERLINK("https://klasma.github.io/Logging_1486/klagomål/A 12238-2025 FSC-klagomål.docx", "A 12238-2025")</f>
        <v/>
      </c>
      <c r="AB19">
        <f>HYPERLINK("https://klasma.github.io/Logging_1486/klagomålsmail/A 12238-2025 FSC-klagomål mail.docx", "A 12238-2025")</f>
        <v/>
      </c>
      <c r="AC19">
        <f>HYPERLINK("https://klasma.github.io/Logging_1486/tillsyn/A 12238-2025 tillsynsbegäran.docx", "A 12238-2025")</f>
        <v/>
      </c>
      <c r="AD19">
        <f>HYPERLINK("https://klasma.github.io/Logging_1486/tillsynsmail/A 12238-2025 tillsynsbegäran mail.docx", "A 12238-2025")</f>
        <v/>
      </c>
      <c r="AE19">
        <f>HYPERLINK("https://klasma.github.io/Logging_1486/fåglar/A 12238-2025 prioriterade fågelarter.docx", "A 12238-2025")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46260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46260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46260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64707-2023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46260</v>
      </c>
      <c r="F23" t="inlineStr">
        <is>
          <t>VÄSTRA GÖTALANDS LÄN</t>
        </is>
      </c>
      <c r="G23" t="inlineStr">
        <is>
          <t>STRÖMSTAD</t>
        </is>
      </c>
      <c r="H23" t="inlineStr">
        <is>
          <t>Kommuner</t>
        </is>
      </c>
      <c r="I23" t="n">
        <v>11.9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HYPERLINK("https://klasma.github.io/Logging_1486/artfynd/A 64707-2023 artfynd.xlsx", "A 64707-2023")</f>
        <v/>
      </c>
      <c r="X23">
        <f>HYPERLINK("https://klasma.github.io/Logging_1486/kartor/A 64707-2023 karta.png", "A 64707-2023")</f>
        <v/>
      </c>
      <c r="Y23">
        <f>HYPERLINK("https://klasma.github.io/Logging_1486/kartor_geotiff/A 64707-2023 georefererad karta.tif", "A 64707-2023")</f>
        <v/>
      </c>
      <c r="Z23">
        <f>HYPERLINK("https://klasma.github.io/Logging_1486/knärot/A 64707-2023 karta knärot.png", "A 64707-2023")</f>
        <v/>
      </c>
      <c r="AA23">
        <f>HYPERLINK("https://klasma.github.io/Logging_1486/klagomål/A 64707-2023 FSC-klagomål.docx", "A 64707-2023")</f>
        <v/>
      </c>
      <c r="AB23">
        <f>HYPERLINK("https://klasma.github.io/Logging_1486/klagomålsmail/A 64707-2023 FSC-klagomål mail.docx", "A 64707-2023")</f>
        <v/>
      </c>
      <c r="AC23">
        <f>HYPERLINK("https://klasma.github.io/Logging_1486/tillsyn/A 64707-2023 tillsynsbegäran.docx", "A 64707-2023")</f>
        <v/>
      </c>
      <c r="AD23">
        <f>HYPERLINK("https://klasma.github.io/Logging_1486/tillsynsmail/A 64707-2023 tillsynsbegäran mail.docx", "A 64707-2023")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46260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46260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10764-2024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46260</v>
      </c>
      <c r="F26" t="inlineStr">
        <is>
          <t>VÄSTRA GÖTALANDS LÄN</t>
        </is>
      </c>
      <c r="G26" t="inlineStr">
        <is>
          <t>STRÖMSTAD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10764-2024 artfynd.xlsx", "A 10764-2024")</f>
        <v/>
      </c>
      <c r="X26">
        <f>HYPERLINK("https://klasma.github.io/Logging_1486/kartor/A 10764-2024 karta.png", "A 10764-2024")</f>
        <v/>
      </c>
      <c r="Y26">
        <f>HYPERLINK("https://klasma.github.io/Logging_1486/kartor_geotiff/A 10764-2024 georefererad karta.tif", "A 10764-2024")</f>
        <v/>
      </c>
      <c r="AA26">
        <f>HYPERLINK("https://klasma.github.io/Logging_1486/klagomål/A 10764-2024 FSC-klagomål.docx", "A 10764-2024")</f>
        <v/>
      </c>
      <c r="AB26">
        <f>HYPERLINK("https://klasma.github.io/Logging_1486/klagomålsmail/A 10764-2024 FSC-klagomål mail.docx", "A 10764-2024")</f>
        <v/>
      </c>
      <c r="AC26">
        <f>HYPERLINK("https://klasma.github.io/Logging_1486/tillsyn/A 10764-2024 tillsynsbegäran.docx", "A 10764-2024")</f>
        <v/>
      </c>
      <c r="AD26">
        <f>HYPERLINK("https://klasma.github.io/Logging_1486/tillsynsmail/A 10764-2024 tillsynsbegäran mail.docx", "A 10764-2024")</f>
        <v/>
      </c>
    </row>
    <row r="27" ht="15" customHeight="1">
      <c r="A27" t="inlineStr">
        <is>
          <t>A 24514-2024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45458</v>
      </c>
      <c r="E27" s="1" t="n">
        <v>46260</v>
      </c>
      <c r="F27" t="inlineStr">
        <is>
          <t>VÄSTRA GÖTALANDS LÄN</t>
        </is>
      </c>
      <c r="G27" t="inlineStr">
        <is>
          <t>STRÖMSTAD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HYPERLINK("https://klasma.github.io/Logging_1486/artfynd/A 24514-2024 artfynd.xlsx", "A 24514-2024")</f>
        <v/>
      </c>
      <c r="X27">
        <f>HYPERLINK("https://klasma.github.io/Logging_1486/kartor/A 24514-2024 karta.png", "A 24514-2024")</f>
        <v/>
      </c>
      <c r="Y27">
        <f>HYPERLINK("https://klasma.github.io/Logging_1486/kartor_geotiff/A 24514-2024 georefererad karta.tif", "A 24514-2024")</f>
        <v/>
      </c>
      <c r="AA27">
        <f>HYPERLINK("https://klasma.github.io/Logging_1486/klagomål/A 24514-2024 FSC-klagomål.docx", "A 24514-2024")</f>
        <v/>
      </c>
      <c r="AB27">
        <f>HYPERLINK("https://klasma.github.io/Logging_1486/klagomålsmail/A 24514-2024 FSC-klagomål mail.docx", "A 24514-2024")</f>
        <v/>
      </c>
      <c r="AC27">
        <f>HYPERLINK("https://klasma.github.io/Logging_1486/tillsyn/A 24514-2024 tillsynsbegäran.docx", "A 24514-2024")</f>
        <v/>
      </c>
      <c r="AD27">
        <f>HYPERLINK("https://klasma.github.io/Logging_1486/tillsynsmail/A 24514-2024 tillsynsbegäran mail.docx", "A 24514-2024")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46260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46260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46260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46260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46260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46260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46260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46260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46260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46260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46260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46260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46260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46260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46260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46260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46260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46260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46260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46260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46260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46260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46260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46260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46260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46260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46260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46260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46260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46260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46260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46260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46260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44883-2021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46260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46260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46260</v>
      </c>
      <c r="F63" t="inlineStr">
        <is>
          <t>VÄSTRA GÖTALANDS LÄN</t>
        </is>
      </c>
      <c r="G63" t="inlineStr">
        <is>
          <t>STRÖMSTAD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46260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46260</v>
      </c>
      <c r="F65" t="inlineStr">
        <is>
          <t>VÄSTRA GÖTALANDS LÄN</t>
        </is>
      </c>
      <c r="G65" t="inlineStr">
        <is>
          <t>STRÖMSTAD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46260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46260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44763</v>
      </c>
      <c r="E68" s="1" t="n">
        <v>46260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44875</v>
      </c>
      <c r="E69" s="1" t="n">
        <v>46260</v>
      </c>
      <c r="F69" t="inlineStr">
        <is>
          <t>VÄSTRA GÖTALANDS LÄN</t>
        </is>
      </c>
      <c r="G69" t="inlineStr">
        <is>
          <t>STRÖMSTAD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46260</v>
      </c>
      <c r="F70" t="inlineStr">
        <is>
          <t>VÄSTRA GÖTALANDS LÄN</t>
        </is>
      </c>
      <c r="G70" t="inlineStr">
        <is>
          <t>STRÖMSTAD</t>
        </is>
      </c>
      <c r="I70" t="n">
        <v>14.5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45018</v>
      </c>
      <c r="E71" s="1" t="n">
        <v>46260</v>
      </c>
      <c r="F71" t="inlineStr">
        <is>
          <t>VÄSTRA GÖTALANDS LÄN</t>
        </is>
      </c>
      <c r="G71" t="inlineStr">
        <is>
          <t>STRÖMSTAD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44649</v>
      </c>
      <c r="E72" s="1" t="n">
        <v>46260</v>
      </c>
      <c r="F72" t="inlineStr">
        <is>
          <t>VÄSTRA GÖTALANDS LÄN</t>
        </is>
      </c>
      <c r="G72" t="inlineStr">
        <is>
          <t>STRÖMSTAD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46260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46036</v>
      </c>
      <c r="E74" s="1" t="n">
        <v>46260</v>
      </c>
      <c r="F74" t="inlineStr">
        <is>
          <t>VÄSTRA GÖTALANDS LÄN</t>
        </is>
      </c>
      <c r="G74" t="inlineStr">
        <is>
          <t>STRÖMSTAD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46260</v>
      </c>
      <c r="F75" t="inlineStr">
        <is>
          <t>VÄSTRA GÖTALANDS LÄN</t>
        </is>
      </c>
      <c r="G75" t="inlineStr">
        <is>
          <t>STRÖMSTAD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46260</v>
      </c>
      <c r="F76" t="inlineStr">
        <is>
          <t>VÄSTRA GÖTALANDS LÄN</t>
        </is>
      </c>
      <c r="G76" t="inlineStr">
        <is>
          <t>STRÖMSTAD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46260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46260</v>
      </c>
      <c r="F78" t="inlineStr">
        <is>
          <t>VÄSTRA GÖTALANDS LÄN</t>
        </is>
      </c>
      <c r="G78" t="inlineStr">
        <is>
          <t>STRÖMSTAD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46260</v>
      </c>
      <c r="F79" t="inlineStr">
        <is>
          <t>VÄSTRA GÖTALANDS LÄN</t>
        </is>
      </c>
      <c r="G79" t="inlineStr">
        <is>
          <t>STRÖMSTAD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46260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7545-2026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46260</v>
      </c>
      <c r="F81" t="inlineStr">
        <is>
          <t>VÄSTRA GÖTALANDS LÄN</t>
        </is>
      </c>
      <c r="G81" t="inlineStr">
        <is>
          <t>STRÖMSTAD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7466-2026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46260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46063</v>
      </c>
      <c r="E83" s="1" t="n">
        <v>46260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8058-2026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46063</v>
      </c>
      <c r="E84" s="1" t="n">
        <v>46260</v>
      </c>
      <c r="F84" t="inlineStr">
        <is>
          <t>VÄSTRA GÖTALANDS LÄN</t>
        </is>
      </c>
      <c r="G84" t="inlineStr">
        <is>
          <t>STRÖMSTAD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46063</v>
      </c>
      <c r="E85" s="1" t="n">
        <v>46260</v>
      </c>
      <c r="F85" t="inlineStr">
        <is>
          <t>VÄSTRA GÖTALANDS LÄN</t>
        </is>
      </c>
      <c r="G85" t="inlineStr">
        <is>
          <t>STRÖMSTAD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46260</v>
      </c>
      <c r="F86" t="inlineStr">
        <is>
          <t>VÄSTRA GÖTALANDS LÄN</t>
        </is>
      </c>
      <c r="G86" t="inlineStr">
        <is>
          <t>STRÖMSTAD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46260</v>
      </c>
      <c r="F87" t="inlineStr">
        <is>
          <t>VÄSTRA GÖTALANDS LÄN</t>
        </is>
      </c>
      <c r="G87" t="inlineStr">
        <is>
          <t>STRÖMSTAD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10850-2026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46260</v>
      </c>
      <c r="F88" t="inlineStr">
        <is>
          <t>VÄSTRA GÖTALANDS LÄN</t>
        </is>
      </c>
      <c r="G88" t="inlineStr">
        <is>
          <t>STRÖMSTAD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45057</v>
      </c>
      <c r="E89" s="1" t="n">
        <v>46260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44459</v>
      </c>
      <c r="E90" s="1" t="n">
        <v>46260</v>
      </c>
      <c r="F90" t="inlineStr">
        <is>
          <t>VÄSTRA GÖTALANDS LÄN</t>
        </is>
      </c>
      <c r="G90" t="inlineStr">
        <is>
          <t>STRÖMSTAD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45240</v>
      </c>
      <c r="E91" s="1" t="n">
        <v>46260</v>
      </c>
      <c r="F91" t="inlineStr">
        <is>
          <t>VÄSTRA GÖTALANDS LÄN</t>
        </is>
      </c>
      <c r="G91" t="inlineStr">
        <is>
          <t>STRÖMSTAD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46260</v>
      </c>
      <c r="F92" t="inlineStr">
        <is>
          <t>VÄSTRA GÖTALANDS LÄN</t>
        </is>
      </c>
      <c r="G92" t="inlineStr">
        <is>
          <t>STRÖMSTAD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46260</v>
      </c>
      <c r="F93" t="inlineStr">
        <is>
          <t>VÄSTRA GÖTALANDS LÄN</t>
        </is>
      </c>
      <c r="G93" t="inlineStr">
        <is>
          <t>STRÖMSTAD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46260</v>
      </c>
      <c r="F94" t="inlineStr">
        <is>
          <t>VÄSTRA GÖTALANDS LÄN</t>
        </is>
      </c>
      <c r="G94" t="inlineStr">
        <is>
          <t>STRÖMSTAD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46260</v>
      </c>
      <c r="F95" t="inlineStr">
        <is>
          <t>VÄSTRA GÖTALANDS LÄN</t>
        </is>
      </c>
      <c r="G95" t="inlineStr">
        <is>
          <t>STRÖMSTAD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46260</v>
      </c>
      <c r="F96" t="inlineStr">
        <is>
          <t>VÄSTRA GÖTALANDS LÄN</t>
        </is>
      </c>
      <c r="G96" t="inlineStr">
        <is>
          <t>STRÖMSTAD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46260</v>
      </c>
      <c r="F97" t="inlineStr">
        <is>
          <t>VÄSTRA GÖTALANDS LÄN</t>
        </is>
      </c>
      <c r="G97" t="inlineStr">
        <is>
          <t>STRÖMSTAD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46260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Övriga Aktiebolag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45316</v>
      </c>
      <c r="E99" s="1" t="n">
        <v>46260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46260</v>
      </c>
      <c r="F100" t="inlineStr">
        <is>
          <t>VÄSTRA GÖTALANDS LÄN</t>
        </is>
      </c>
      <c r="G100" t="inlineStr">
        <is>
          <t>STRÖMSTAD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46260</v>
      </c>
      <c r="F101" t="inlineStr">
        <is>
          <t>VÄSTRA GÖTALANDS LÄN</t>
        </is>
      </c>
      <c r="G101" t="inlineStr">
        <is>
          <t>STRÖMSTAD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46260</v>
      </c>
      <c r="F102" t="inlineStr">
        <is>
          <t>VÄSTRA GÖTALANDS LÄN</t>
        </is>
      </c>
      <c r="G102" t="inlineStr">
        <is>
          <t>STRÖMSTAD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46260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Kommuner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46260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46260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46260</v>
      </c>
      <c r="F106" t="inlineStr">
        <is>
          <t>VÄSTRA GÖTALANDS LÄN</t>
        </is>
      </c>
      <c r="G106" t="inlineStr">
        <is>
          <t>STRÖMSTAD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46260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46103</v>
      </c>
      <c r="E108" s="1" t="n">
        <v>46260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45972</v>
      </c>
      <c r="E109" s="1" t="n">
        <v>46260</v>
      </c>
      <c r="F109" t="inlineStr">
        <is>
          <t>VÄSTRA GÖTALANDS LÄN</t>
        </is>
      </c>
      <c r="G109" t="inlineStr">
        <is>
          <t>STRÖMSTAD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45834</v>
      </c>
      <c r="E110" s="1" t="n">
        <v>46260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46260</v>
      </c>
      <c r="F111" t="inlineStr">
        <is>
          <t>VÄSTRA GÖTALANDS LÄN</t>
        </is>
      </c>
      <c r="G111" t="inlineStr">
        <is>
          <t>STRÖMSTAD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46260</v>
      </c>
      <c r="F112" t="inlineStr">
        <is>
          <t>VÄSTRA GÖTALANDS LÄN</t>
        </is>
      </c>
      <c r="G112" t="inlineStr">
        <is>
          <t>STRÖMSTAD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46260</v>
      </c>
      <c r="F113" t="inlineStr">
        <is>
          <t>VÄSTRA GÖTALANDS LÄN</t>
        </is>
      </c>
      <c r="G113" t="inlineStr">
        <is>
          <t>STRÖMSTAD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46260</v>
      </c>
      <c r="F114" t="inlineStr">
        <is>
          <t>VÄSTRA GÖTALANDS LÄN</t>
        </is>
      </c>
      <c r="G114" t="inlineStr">
        <is>
          <t>STRÖMSTAD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46260</v>
      </c>
      <c r="F115" t="inlineStr">
        <is>
          <t>VÄSTRA GÖTALANDS LÄN</t>
        </is>
      </c>
      <c r="G115" t="inlineStr">
        <is>
          <t>STRÖMSTAD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46260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46260</v>
      </c>
      <c r="F117" t="inlineStr">
        <is>
          <t>VÄSTRA GÖTALANDS LÄN</t>
        </is>
      </c>
      <c r="G117" t="inlineStr">
        <is>
          <t>STRÖMSTAD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46260</v>
      </c>
      <c r="F118" t="inlineStr">
        <is>
          <t>VÄSTRA GÖTALANDS LÄN</t>
        </is>
      </c>
      <c r="G118" t="inlineStr">
        <is>
          <t>STRÖMSTAD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46260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46260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46260</v>
      </c>
      <c r="F121" t="inlineStr">
        <is>
          <t>VÄSTRA GÖTALANDS LÄN</t>
        </is>
      </c>
      <c r="G121" t="inlineStr">
        <is>
          <t>STRÖMSTAD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45876</v>
      </c>
      <c r="E122" s="1" t="n">
        <v>46260</v>
      </c>
      <c r="F122" t="inlineStr">
        <is>
          <t>VÄSTRA GÖTALANDS LÄN</t>
        </is>
      </c>
      <c r="G122" t="inlineStr">
        <is>
          <t>STRÖMSTAD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46260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45126</v>
      </c>
      <c r="E124" s="1" t="n">
        <v>46260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46260</v>
      </c>
      <c r="F125" t="inlineStr">
        <is>
          <t>VÄSTRA GÖTALANDS LÄN</t>
        </is>
      </c>
      <c r="G125" t="inlineStr">
        <is>
          <t>STRÖMSTAD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46260</v>
      </c>
      <c r="F126" t="inlineStr">
        <is>
          <t>VÄSTRA GÖTALANDS LÄN</t>
        </is>
      </c>
      <c r="G126" t="inlineStr">
        <is>
          <t>STRÖMSTAD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46260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46260</v>
      </c>
      <c r="F128" t="inlineStr">
        <is>
          <t>VÄSTRA GÖTALANDS LÄN</t>
        </is>
      </c>
      <c r="G128" t="inlineStr">
        <is>
          <t>STRÖMSTAD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46260</v>
      </c>
      <c r="F129" t="inlineStr">
        <is>
          <t>VÄSTRA GÖTALANDS LÄN</t>
        </is>
      </c>
      <c r="G129" t="inlineStr">
        <is>
          <t>STRÖMSTAD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46260</v>
      </c>
      <c r="F130" t="inlineStr">
        <is>
          <t>VÄSTRA GÖTALANDS LÄN</t>
        </is>
      </c>
      <c r="G130" t="inlineStr">
        <is>
          <t>STRÖMSTAD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21755-2026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46260</v>
      </c>
      <c r="F131" t="inlineStr">
        <is>
          <t>VÄSTRA GÖTALANDS LÄN</t>
        </is>
      </c>
      <c r="G131" t="inlineStr">
        <is>
          <t>STRÖMSTAD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46260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46260</v>
      </c>
      <c r="F133" t="inlineStr">
        <is>
          <t>VÄSTRA GÖTALANDS LÄN</t>
        </is>
      </c>
      <c r="G133" t="inlineStr">
        <is>
          <t>STRÖMSTAD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46260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46260</v>
      </c>
      <c r="F135" t="inlineStr">
        <is>
          <t>VÄSTRA GÖTALANDS LÄN</t>
        </is>
      </c>
      <c r="G135" t="inlineStr">
        <is>
          <t>STRÖMSTAD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21828-2026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46260</v>
      </c>
      <c r="F136" t="inlineStr">
        <is>
          <t>VÄSTRA GÖTALANDS LÄN</t>
        </is>
      </c>
      <c r="G136" t="inlineStr">
        <is>
          <t>STRÖMSTAD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44435</v>
      </c>
      <c r="E137" s="1" t="n">
        <v>46260</v>
      </c>
      <c r="F137" t="inlineStr">
        <is>
          <t>VÄSTRA GÖTALANDS LÄN</t>
        </is>
      </c>
      <c r="G137" t="inlineStr">
        <is>
          <t>STRÖMSTAD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46260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21839-2026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46260</v>
      </c>
      <c r="F139" t="inlineStr">
        <is>
          <t>VÄSTRA GÖTALANDS LÄN</t>
        </is>
      </c>
      <c r="G139" t="inlineStr">
        <is>
          <t>STRÖMSTAD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46260</v>
      </c>
      <c r="F140" t="inlineStr">
        <is>
          <t>VÄSTRA GÖTALANDS LÄN</t>
        </is>
      </c>
      <c r="G140" t="inlineStr">
        <is>
          <t>STRÖMSTAD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46260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46260</v>
      </c>
      <c r="F142" t="inlineStr">
        <is>
          <t>VÄSTRA GÖTALANDS LÄN</t>
        </is>
      </c>
      <c r="G142" t="inlineStr">
        <is>
          <t>STRÖMSTAD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46260</v>
      </c>
      <c r="F143" t="inlineStr">
        <is>
          <t>VÄSTRA GÖTALANDS LÄN</t>
        </is>
      </c>
      <c r="G143" t="inlineStr">
        <is>
          <t>STRÖMSTAD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46260</v>
      </c>
      <c r="F144" t="inlineStr">
        <is>
          <t>VÄSTRA GÖTALANDS LÄN</t>
        </is>
      </c>
      <c r="G144" t="inlineStr">
        <is>
          <t>STRÖMSTAD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46260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46260</v>
      </c>
      <c r="F146" t="inlineStr">
        <is>
          <t>VÄSTRA GÖTALANDS LÄN</t>
        </is>
      </c>
      <c r="G146" t="inlineStr">
        <is>
          <t>STRÖMSTAD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46161</v>
      </c>
      <c r="E147" s="1" t="n">
        <v>46260</v>
      </c>
      <c r="F147" t="inlineStr">
        <is>
          <t>VÄSTRA GÖTALANDS LÄN</t>
        </is>
      </c>
      <c r="G147" t="inlineStr">
        <is>
          <t>STRÖMSTAD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46260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44892</v>
      </c>
      <c r="E149" s="1" t="n">
        <v>46260</v>
      </c>
      <c r="F149" t="inlineStr">
        <is>
          <t>VÄSTRA GÖTALANDS LÄN</t>
        </is>
      </c>
      <c r="G149" t="inlineStr">
        <is>
          <t>STRÖMSTAD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46260</v>
      </c>
      <c r="F150" t="inlineStr">
        <is>
          <t>VÄSTRA GÖTALANDS LÄN</t>
        </is>
      </c>
      <c r="G150" t="inlineStr">
        <is>
          <t>STRÖMSTAD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45407</v>
      </c>
      <c r="E151" s="1" t="n">
        <v>46260</v>
      </c>
      <c r="F151" t="inlineStr">
        <is>
          <t>VÄSTRA GÖTALANDS LÄN</t>
        </is>
      </c>
      <c r="G151" t="inlineStr">
        <is>
          <t>STRÖMSTAD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46260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72625-2021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44546</v>
      </c>
      <c r="E153" s="1" t="n">
        <v>46260</v>
      </c>
      <c r="F153" t="inlineStr">
        <is>
          <t>VÄSTRA GÖTALANDS LÄN</t>
        </is>
      </c>
      <c r="G153" t="inlineStr">
        <is>
          <t>STRÖMSTAD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19134-2025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45764</v>
      </c>
      <c r="E154" s="1" t="n">
        <v>46260</v>
      </c>
      <c r="F154" t="inlineStr">
        <is>
          <t>VÄSTRA GÖTALANDS LÄN</t>
        </is>
      </c>
      <c r="G154" t="inlineStr">
        <is>
          <t>STRÖMSTAD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46260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46260</v>
      </c>
      <c r="F156" t="inlineStr">
        <is>
          <t>VÄSTRA GÖTALANDS LÄN</t>
        </is>
      </c>
      <c r="G156" t="inlineStr">
        <is>
          <t>STRÖMSTAD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46260</v>
      </c>
      <c r="F157" t="inlineStr">
        <is>
          <t>VÄSTRA GÖTALANDS LÄN</t>
        </is>
      </c>
      <c r="G157" t="inlineStr">
        <is>
          <t>STRÖMSTAD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46260</v>
      </c>
      <c r="F158" t="inlineStr">
        <is>
          <t>VÄSTRA GÖTALANDS LÄN</t>
        </is>
      </c>
      <c r="G158" t="inlineStr">
        <is>
          <t>STRÖMSTAD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46260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46260</v>
      </c>
      <c r="F160" t="inlineStr">
        <is>
          <t>VÄSTRA GÖTALANDS LÄN</t>
        </is>
      </c>
      <c r="G160" t="inlineStr">
        <is>
          <t>STRÖMSTAD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46260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45133</v>
      </c>
      <c r="E162" s="1" t="n">
        <v>46260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46260</v>
      </c>
      <c r="F163" t="inlineStr">
        <is>
          <t>VÄSTRA GÖTALANDS LÄN</t>
        </is>
      </c>
      <c r="G163" t="inlineStr">
        <is>
          <t>STRÖMSTAD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46260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46260</v>
      </c>
      <c r="F165" t="inlineStr">
        <is>
          <t>VÄSTRA GÖTALANDS LÄN</t>
        </is>
      </c>
      <c r="G165" t="inlineStr">
        <is>
          <t>STRÖMSTAD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46230</v>
      </c>
      <c r="E166" s="1" t="n">
        <v>46260</v>
      </c>
      <c r="F166" t="inlineStr">
        <is>
          <t>VÄSTRA GÖTALANDS LÄN</t>
        </is>
      </c>
      <c r="G166" t="inlineStr">
        <is>
          <t>STRÖMSTAD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46260</v>
      </c>
      <c r="F167" t="inlineStr">
        <is>
          <t>VÄSTRA GÖTALANDS LÄN</t>
        </is>
      </c>
      <c r="G167" t="inlineStr">
        <is>
          <t>STRÖMSTAD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46156</v>
      </c>
      <c r="E168" s="1" t="n">
        <v>46260</v>
      </c>
      <c r="F168" t="inlineStr">
        <is>
          <t>VÄSTRA GÖTALANDS LÄN</t>
        </is>
      </c>
      <c r="G168" t="inlineStr">
        <is>
          <t>STRÖMSTAD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45351</v>
      </c>
      <c r="E169" s="1" t="n">
        <v>46260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45002</v>
      </c>
      <c r="E170" s="1" t="n">
        <v>46260</v>
      </c>
      <c r="F170" t="inlineStr">
        <is>
          <t>VÄSTRA GÖTALANDS LÄN</t>
        </is>
      </c>
      <c r="G170" t="inlineStr">
        <is>
          <t>STRÖMSTAD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46260</v>
      </c>
      <c r="F171" t="inlineStr">
        <is>
          <t>VÄSTRA GÖTALANDS LÄN</t>
        </is>
      </c>
      <c r="G171" t="inlineStr">
        <is>
          <t>STRÖMSTAD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46260</v>
      </c>
      <c r="F172" t="inlineStr">
        <is>
          <t>VÄSTRA GÖTALANDS LÄN</t>
        </is>
      </c>
      <c r="G172" t="inlineStr">
        <is>
          <t>STRÖMSTAD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46204</v>
      </c>
      <c r="E173" s="1" t="n">
        <v>46260</v>
      </c>
      <c r="F173" t="inlineStr">
        <is>
          <t>VÄSTRA GÖTALANDS LÄN</t>
        </is>
      </c>
      <c r="G173" t="inlineStr">
        <is>
          <t>STRÖMSTAD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46260</v>
      </c>
      <c r="F174" t="inlineStr">
        <is>
          <t>VÄSTRA GÖTALANDS LÄN</t>
        </is>
      </c>
      <c r="G174" t="inlineStr">
        <is>
          <t>STRÖMSTAD</t>
        </is>
      </c>
      <c r="I174" t="n">
        <v>15.5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46260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45483</v>
      </c>
      <c r="E176" s="1" t="n">
        <v>46260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46260</v>
      </c>
      <c r="F177" t="inlineStr">
        <is>
          <t>VÄSTRA GÖTALANDS LÄN</t>
        </is>
      </c>
      <c r="G177" t="inlineStr">
        <is>
          <t>STRÖMSTAD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46260</v>
      </c>
      <c r="F178" t="inlineStr">
        <is>
          <t>VÄSTRA GÖTALANDS LÄN</t>
        </is>
      </c>
      <c r="G178" t="inlineStr">
        <is>
          <t>STRÖMSTAD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45318</v>
      </c>
      <c r="E179" s="1" t="n">
        <v>46260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46260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46260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46260</v>
      </c>
      <c r="F182" t="inlineStr">
        <is>
          <t>VÄSTRA GÖTALANDS LÄN</t>
        </is>
      </c>
      <c r="G182" t="inlineStr">
        <is>
          <t>STRÖMSTAD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46260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46260</v>
      </c>
      <c r="F184" t="inlineStr">
        <is>
          <t>VÄSTRA GÖTALANDS LÄN</t>
        </is>
      </c>
      <c r="G184" t="inlineStr">
        <is>
          <t>STRÖMSTAD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46260</v>
      </c>
      <c r="F185" t="inlineStr">
        <is>
          <t>VÄSTRA GÖTALANDS LÄN</t>
        </is>
      </c>
      <c r="G185" t="inlineStr">
        <is>
          <t>STRÖMSTAD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46260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46260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46260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46260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46260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46260</v>
      </c>
      <c r="F191" t="inlineStr">
        <is>
          <t>VÄSTRA GÖTALANDS LÄN</t>
        </is>
      </c>
      <c r="G191" t="inlineStr">
        <is>
          <t>STRÖMSTAD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46260</v>
      </c>
      <c r="F192" t="inlineStr">
        <is>
          <t>VÄSTRA GÖTALANDS LÄN</t>
        </is>
      </c>
      <c r="G192" t="inlineStr">
        <is>
          <t>STRÖMSTAD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56130-2022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44886</v>
      </c>
      <c r="E193" s="1" t="n">
        <v>46260</v>
      </c>
      <c r="F193" t="inlineStr">
        <is>
          <t>VÄSTRA GÖTALANDS LÄN</t>
        </is>
      </c>
      <c r="G193" t="inlineStr">
        <is>
          <t>STRÖMSTAD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46260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46260</v>
      </c>
      <c r="F195" t="inlineStr">
        <is>
          <t>VÄSTRA GÖTALANDS LÄN</t>
        </is>
      </c>
      <c r="G195" t="inlineStr">
        <is>
          <t>STRÖMSTAD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46260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46260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46260</v>
      </c>
      <c r="F198" t="inlineStr">
        <is>
          <t>VÄSTRA GÖTALANDS LÄN</t>
        </is>
      </c>
      <c r="G198" t="inlineStr">
        <is>
          <t>STRÖMSTAD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46260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45739</v>
      </c>
      <c r="E200" s="1" t="n">
        <v>46260</v>
      </c>
      <c r="F200" t="inlineStr">
        <is>
          <t>VÄSTRA GÖTALANDS LÄN</t>
        </is>
      </c>
      <c r="G200" t="inlineStr">
        <is>
          <t>STRÖMSTAD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45716</v>
      </c>
      <c r="E201" s="1" t="n">
        <v>46260</v>
      </c>
      <c r="F201" t="inlineStr">
        <is>
          <t>VÄSTRA GÖTALANDS LÄN</t>
        </is>
      </c>
      <c r="G201" t="inlineStr">
        <is>
          <t>STRÖMSTAD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46260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46260</v>
      </c>
      <c r="F203" t="inlineStr">
        <is>
          <t>VÄSTRA GÖTALANDS LÄN</t>
        </is>
      </c>
      <c r="G203" t="inlineStr">
        <is>
          <t>STRÖMSTAD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46260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Kommuner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46260</v>
      </c>
      <c r="F205" t="inlineStr">
        <is>
          <t>VÄSTRA GÖTALANDS LÄN</t>
        </is>
      </c>
      <c r="G205" t="inlineStr">
        <is>
          <t>STRÖMSTAD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46260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46260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46260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2026-08-26T01:55:01Z</dcterms:created>
  <dcterms:modified xmlns:dcterms="http://purl.org/dc/terms/" xmlns:xsi="http://www.w3.org/2001/XMLSchema-instance" xsi:type="dcterms:W3CDTF">2026-08-26T01:55:01Z</dcterms:modified>
</cp:coreProperties>
</file>