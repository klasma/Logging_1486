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46235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46235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46235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46235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46235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46235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46235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46235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46235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Kopparödla</t>
        </is>
      </c>
      <c r="W15">
        <f>HYPERLINK("https://klasma.github.io/Logging_1486/artfynd/A 56318-2025 artfynd.xlsx", "A 56318-2025")</f>
        <v/>
      </c>
      <c r="X15">
        <f>HYPERLINK("https://klasma.github.io/Logging_1486/kartor/A 56318-2025 karta.png", "A 56318-2025")</f>
        <v/>
      </c>
      <c r="Y15">
        <f>HYPERLINK("https://klasma.github.io/Logging_1486/kartor_geotiff/A 56318-2025 georefererad karta.tif", "A 56318-2025")</f>
        <v/>
      </c>
      <c r="AA15">
        <f>HYPERLINK("https://klasma.github.io/Logging_1486/klagomål/A 56318-2025 FSC-klagomål.docx", "A 56318-2025")</f>
        <v/>
      </c>
      <c r="AB15">
        <f>HYPERLINK("https://klasma.github.io/Logging_1486/klagomålsmail/A 56318-2025 FSC-klagomål mail.docx", "A 56318-2025")</f>
        <v/>
      </c>
      <c r="AC15">
        <f>HYPERLINK("https://klasma.github.io/Logging_1486/tillsyn/A 56318-2025 tillsynsbegäran.docx", "A 56318-2025")</f>
        <v/>
      </c>
      <c r="AD15">
        <f>HYPERLINK("https://klasma.github.io/Logging_1486/tillsynsmail/A 56318-2025 tillsynsbegäran mail.docx", "A 56318-2025")</f>
        <v/>
      </c>
      <c r="AE15">
        <f>HYPERLINK("https://klasma.github.io/Logging_1486/fåglar/A 56318-2025 prioriterade fågelarter.docx", "A 56318-2025")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46235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46235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46235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46235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46235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46235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46235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46235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46235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6128-2026 artfynd.xlsx", "A 6128-2026")</f>
        <v/>
      </c>
      <c r="X24">
        <f>HYPERLINK("https://klasma.github.io/Logging_1486/kartor/A 6128-2026 karta.png", "A 6128-2026")</f>
        <v/>
      </c>
      <c r="Y24">
        <f>HYPERLINK("https://klasma.github.io/Logging_1486/kartor_geotiff/A 6128-2026 georefererad karta.tif", "A 6128-2026")</f>
        <v/>
      </c>
      <c r="AA24">
        <f>HYPERLINK("https://klasma.github.io/Logging_1486/klagomål/A 6128-2026 FSC-klagomål.docx", "A 6128-2026")</f>
        <v/>
      </c>
      <c r="AB24">
        <f>HYPERLINK("https://klasma.github.io/Logging_1486/klagomålsmail/A 6128-2026 FSC-klagomål mail.docx", "A 6128-2026")</f>
        <v/>
      </c>
      <c r="AC24">
        <f>HYPERLINK("https://klasma.github.io/Logging_1486/tillsyn/A 6128-2026 tillsynsbegäran.docx", "A 6128-2026")</f>
        <v/>
      </c>
      <c r="AD24">
        <f>HYPERLINK("https://klasma.github.io/Logging_1486/tillsynsmail/A 6128-2026 tillsynsbegäran mail.docx", "A 6128-2026")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46235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33772-2023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46235</v>
      </c>
      <c r="F26" t="inlineStr">
        <is>
          <t>VÄSTRA GÖTALANDS LÄN</t>
        </is>
      </c>
      <c r="G26" t="inlineStr">
        <is>
          <t>STRÖMSTAD</t>
        </is>
      </c>
      <c r="I26" t="n">
        <v>2.2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Entita</t>
        </is>
      </c>
      <c r="W26">
        <f>HYPERLINK("https://klasma.github.io/Logging_1486/artfynd/A 33772-2023 artfynd.xlsx", "A 33772-2023")</f>
        <v/>
      </c>
      <c r="X26">
        <f>HYPERLINK("https://klasma.github.io/Logging_1486/kartor/A 33772-2023 karta.png", "A 33772-2023")</f>
        <v/>
      </c>
      <c r="Y26">
        <f>HYPERLINK("https://klasma.github.io/Logging_1486/kartor_geotiff/A 33772-2023 georefererad karta.tif", "A 33772-2023")</f>
        <v/>
      </c>
      <c r="AA26">
        <f>HYPERLINK("https://klasma.github.io/Logging_1486/klagomål/A 33772-2023 FSC-klagomål.docx", "A 33772-2023")</f>
        <v/>
      </c>
      <c r="AB26">
        <f>HYPERLINK("https://klasma.github.io/Logging_1486/klagomålsmail/A 33772-2023 FSC-klagomål mail.docx", "A 33772-2023")</f>
        <v/>
      </c>
      <c r="AC26">
        <f>HYPERLINK("https://klasma.github.io/Logging_1486/tillsyn/A 33772-2023 tillsynsbegäran.docx", "A 33772-2023")</f>
        <v/>
      </c>
      <c r="AD26">
        <f>HYPERLINK("https://klasma.github.io/Logging_1486/tillsynsmail/A 33772-2023 tillsynsbegäran mail.docx", "A 33772-2023")</f>
        <v/>
      </c>
      <c r="AE26">
        <f>HYPERLINK("https://klasma.github.io/Logging_1486/fåglar/A 33772-2023 prioriterade fågelarter.docx", "A 33772-2023")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46235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46235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46235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46235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46235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46235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46235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46235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46235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46235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46235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46235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46235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46235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46235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46235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46235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46235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46235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46235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46235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46235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46235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46235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46235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46235</v>
      </c>
      <c r="F52" t="inlineStr">
        <is>
          <t>VÄSTRA GÖTALANDS LÄN</t>
        </is>
      </c>
      <c r="G52" t="inlineStr">
        <is>
          <t>STRÖMSTAD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46235</v>
      </c>
      <c r="F53" t="inlineStr">
        <is>
          <t>VÄSTRA GÖTALANDS LÄN</t>
        </is>
      </c>
      <c r="G53" t="inlineStr">
        <is>
          <t>STRÖMSTAD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46235</v>
      </c>
      <c r="F54" t="inlineStr">
        <is>
          <t>VÄSTRA GÖTALANDS LÄN</t>
        </is>
      </c>
      <c r="G54" t="inlineStr">
        <is>
          <t>STRÖMSTAD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59917-2021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44494</v>
      </c>
      <c r="E55" s="1" t="n">
        <v>46235</v>
      </c>
      <c r="F55" t="inlineStr">
        <is>
          <t>VÄSTRA GÖTALANDS LÄN</t>
        </is>
      </c>
      <c r="G55" t="inlineStr">
        <is>
          <t>STRÖMSTAD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44408-2021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46235</v>
      </c>
      <c r="F56" t="inlineStr">
        <is>
          <t>VÄSTRA GÖTALANDS LÄN</t>
        </is>
      </c>
      <c r="G56" t="inlineStr">
        <is>
          <t>STRÖMSTAD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46235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45483</v>
      </c>
      <c r="E58" s="1" t="n">
        <v>46235</v>
      </c>
      <c r="F58" t="inlineStr">
        <is>
          <t>VÄSTRA GÖTALANDS LÄN</t>
        </is>
      </c>
      <c r="G58" t="inlineStr">
        <is>
          <t>STRÖMSTAD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30701-2022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46235</v>
      </c>
      <c r="F59" t="inlineStr">
        <is>
          <t>VÄSTRA GÖTALANDS LÄN</t>
        </is>
      </c>
      <c r="G59" t="inlineStr">
        <is>
          <t>STRÖMSTAD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44774</v>
      </c>
      <c r="E60" s="1" t="n">
        <v>46235</v>
      </c>
      <c r="F60" t="inlineStr">
        <is>
          <t>VÄSTRA GÖTALANDS LÄN</t>
        </is>
      </c>
      <c r="G60" t="inlineStr">
        <is>
          <t>STRÖMSTAD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46235</v>
      </c>
      <c r="F61" t="inlineStr">
        <is>
          <t>VÄSTRA GÖTALANDS LÄN</t>
        </is>
      </c>
      <c r="G61" t="inlineStr">
        <is>
          <t>STRÖMSTAD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46235</v>
      </c>
      <c r="F62" t="inlineStr">
        <is>
          <t>VÄSTRA GÖTALANDS LÄN</t>
        </is>
      </c>
      <c r="G62" t="inlineStr">
        <is>
          <t>STRÖMSTAD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45757</v>
      </c>
      <c r="E63" s="1" t="n">
        <v>46235</v>
      </c>
      <c r="F63" t="inlineStr">
        <is>
          <t>VÄSTRA GÖTALANDS LÄN</t>
        </is>
      </c>
      <c r="G63" t="inlineStr">
        <is>
          <t>STRÖMSTAD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46235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46235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46235</v>
      </c>
      <c r="F66" t="inlineStr">
        <is>
          <t>VÄSTRA GÖTALANDS LÄN</t>
        </is>
      </c>
      <c r="G66" t="inlineStr">
        <is>
          <t>STRÖMSTAD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46235</v>
      </c>
      <c r="F67" t="inlineStr">
        <is>
          <t>VÄSTRA GÖTALANDS LÄN</t>
        </is>
      </c>
      <c r="G67" t="inlineStr">
        <is>
          <t>STRÖMSTAD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46235</v>
      </c>
      <c r="F68" t="inlineStr">
        <is>
          <t>VÄSTRA GÖTALANDS LÄN</t>
        </is>
      </c>
      <c r="G68" t="inlineStr">
        <is>
          <t>STRÖMSTAD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20968-2023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45061</v>
      </c>
      <c r="E69" s="1" t="n">
        <v>46235</v>
      </c>
      <c r="F69" t="inlineStr">
        <is>
          <t>VÄSTRA GÖTALANDS LÄN</t>
        </is>
      </c>
      <c r="G69" t="inlineStr">
        <is>
          <t>STRÖMSTAD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46235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46235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46235</v>
      </c>
      <c r="F72" t="inlineStr">
        <is>
          <t>VÄSTRA GÖTALANDS LÄN</t>
        </is>
      </c>
      <c r="G72" t="inlineStr">
        <is>
          <t>STRÖMSTAD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46235</v>
      </c>
      <c r="F73" t="inlineStr">
        <is>
          <t>VÄSTRA GÖTALANDS LÄN</t>
        </is>
      </c>
      <c r="G73" t="inlineStr">
        <is>
          <t>STRÖMSTAD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46235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46235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45578</v>
      </c>
      <c r="E76" s="1" t="n">
        <v>46235</v>
      </c>
      <c r="F76" t="inlineStr">
        <is>
          <t>VÄSTRA GÖTALANDS LÄN</t>
        </is>
      </c>
      <c r="G76" t="inlineStr">
        <is>
          <t>STRÖMSTAD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46235</v>
      </c>
      <c r="F77" t="inlineStr">
        <is>
          <t>VÄSTRA GÖTALANDS LÄN</t>
        </is>
      </c>
      <c r="G77" t="inlineStr">
        <is>
          <t>STRÖMSTAD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46235</v>
      </c>
      <c r="F78" t="inlineStr">
        <is>
          <t>VÄSTRA GÖTALANDS LÄN</t>
        </is>
      </c>
      <c r="G78" t="inlineStr">
        <is>
          <t>STRÖMSTAD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46235</v>
      </c>
      <c r="F79" t="inlineStr">
        <is>
          <t>VÄSTRA GÖTALANDS LÄN</t>
        </is>
      </c>
      <c r="G79" t="inlineStr">
        <is>
          <t>STRÖMSTAD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46235</v>
      </c>
      <c r="F80" t="inlineStr">
        <is>
          <t>VÄSTRA GÖTALANDS LÄN</t>
        </is>
      </c>
      <c r="G80" t="inlineStr">
        <is>
          <t>STRÖMSTAD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45876</v>
      </c>
      <c r="E81" s="1" t="n">
        <v>46235</v>
      </c>
      <c r="F81" t="inlineStr">
        <is>
          <t>VÄSTRA GÖTALANDS LÄN</t>
        </is>
      </c>
      <c r="G81" t="inlineStr">
        <is>
          <t>STRÖMSTAD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46142</v>
      </c>
      <c r="E82" s="1" t="n">
        <v>46235</v>
      </c>
      <c r="F82" t="inlineStr">
        <is>
          <t>VÄSTRA GÖTALANDS LÄN</t>
        </is>
      </c>
      <c r="G82" t="inlineStr">
        <is>
          <t>STRÖMSTAD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46235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46235</v>
      </c>
      <c r="F84" t="inlineStr">
        <is>
          <t>VÄSTRA GÖTALANDS LÄN</t>
        </is>
      </c>
      <c r="G84" t="inlineStr">
        <is>
          <t>STRÖMSTAD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46235</v>
      </c>
      <c r="F85" t="inlineStr">
        <is>
          <t>VÄSTRA GÖTALANDS LÄN</t>
        </is>
      </c>
      <c r="G85" t="inlineStr">
        <is>
          <t>STRÖMSTAD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46235</v>
      </c>
      <c r="F86" t="inlineStr">
        <is>
          <t>VÄSTRA GÖTALANDS LÄN</t>
        </is>
      </c>
      <c r="G86" t="inlineStr">
        <is>
          <t>STRÖMSTAD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46235</v>
      </c>
      <c r="F87" t="inlineStr">
        <is>
          <t>VÄSTRA GÖTALANDS LÄN</t>
        </is>
      </c>
      <c r="G87" t="inlineStr">
        <is>
          <t>STRÖMSTAD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21755-2026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46235</v>
      </c>
      <c r="F88" t="inlineStr">
        <is>
          <t>VÄSTRA GÖTALANDS LÄN</t>
        </is>
      </c>
      <c r="G88" t="inlineStr">
        <is>
          <t>STRÖMSTAD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46235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Övriga Aktiebolag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46235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21828-2026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46235</v>
      </c>
      <c r="F91" t="inlineStr">
        <is>
          <t>VÄSTRA GÖTALANDS LÄN</t>
        </is>
      </c>
      <c r="G91" t="inlineStr">
        <is>
          <t>STRÖMSTAD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46235</v>
      </c>
      <c r="F92" t="inlineStr">
        <is>
          <t>VÄSTRA GÖTALANDS LÄN</t>
        </is>
      </c>
      <c r="G92" t="inlineStr">
        <is>
          <t>STRÖMSTAD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46235</v>
      </c>
      <c r="F93" t="inlineStr">
        <is>
          <t>VÄSTRA GÖTALANDS LÄN</t>
        </is>
      </c>
      <c r="G93" t="inlineStr">
        <is>
          <t>STRÖMSTAD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46235</v>
      </c>
      <c r="F94" t="inlineStr">
        <is>
          <t>VÄSTRA GÖTALANDS LÄN</t>
        </is>
      </c>
      <c r="G94" t="inlineStr">
        <is>
          <t>STRÖMSTAD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46235</v>
      </c>
      <c r="F95" t="inlineStr">
        <is>
          <t>VÄSTRA GÖTALANDS LÄN</t>
        </is>
      </c>
      <c r="G95" t="inlineStr">
        <is>
          <t>STRÖMSTAD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46154</v>
      </c>
      <c r="E96" s="1" t="n">
        <v>46235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46196</v>
      </c>
      <c r="E97" s="1" t="n">
        <v>46235</v>
      </c>
      <c r="F97" t="inlineStr">
        <is>
          <t>VÄSTRA GÖTALANDS LÄN</t>
        </is>
      </c>
      <c r="G97" t="inlineStr">
        <is>
          <t>STRÖMSTAD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46235</v>
      </c>
      <c r="F98" t="inlineStr">
        <is>
          <t>VÄSTRA GÖTALANDS LÄN</t>
        </is>
      </c>
      <c r="G98" t="inlineStr">
        <is>
          <t>STRÖMSTAD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45033</v>
      </c>
      <c r="E99" s="1" t="n">
        <v>46235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46235</v>
      </c>
      <c r="F100" t="inlineStr">
        <is>
          <t>VÄSTRA GÖTALANDS LÄN</t>
        </is>
      </c>
      <c r="G100" t="inlineStr">
        <is>
          <t>STRÖMSTAD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45579</v>
      </c>
      <c r="E101" s="1" t="n">
        <v>46235</v>
      </c>
      <c r="F101" t="inlineStr">
        <is>
          <t>VÄSTRA GÖTALANDS LÄN</t>
        </is>
      </c>
      <c r="G101" t="inlineStr">
        <is>
          <t>STRÖMSTAD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46235</v>
      </c>
      <c r="F102" t="inlineStr">
        <is>
          <t>VÄSTRA GÖTALANDS LÄN</t>
        </is>
      </c>
      <c r="G102" t="inlineStr">
        <is>
          <t>STRÖMSTAD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46156</v>
      </c>
      <c r="E103" s="1" t="n">
        <v>46235</v>
      </c>
      <c r="F103" t="inlineStr">
        <is>
          <t>VÄSTRA GÖTALANDS LÄN</t>
        </is>
      </c>
      <c r="G103" t="inlineStr">
        <is>
          <t>STRÖMSTAD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45133</v>
      </c>
      <c r="E104" s="1" t="n">
        <v>46235</v>
      </c>
      <c r="F104" t="inlineStr">
        <is>
          <t>VÄSTRA GÖTALANDS LÄN</t>
        </is>
      </c>
      <c r="G104" t="inlineStr">
        <is>
          <t>STRÖMSTAD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46235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46235</v>
      </c>
      <c r="F106" t="inlineStr">
        <is>
          <t>VÄSTRA GÖTALANDS LÄN</t>
        </is>
      </c>
      <c r="G106" t="inlineStr">
        <is>
          <t>STRÖMSTAD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46235</v>
      </c>
      <c r="F107" t="inlineStr">
        <is>
          <t>VÄSTRA GÖTALANDS LÄN</t>
        </is>
      </c>
      <c r="G107" t="inlineStr">
        <is>
          <t>STRÖMSTAD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46235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45057</v>
      </c>
      <c r="E109" s="1" t="n">
        <v>46235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45764</v>
      </c>
      <c r="E110" s="1" t="n">
        <v>46235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44459</v>
      </c>
      <c r="E111" s="1" t="n">
        <v>46235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46235</v>
      </c>
      <c r="F112" t="inlineStr">
        <is>
          <t>VÄSTRA GÖTALANDS LÄN</t>
        </is>
      </c>
      <c r="G112" t="inlineStr">
        <is>
          <t>STRÖMSTAD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46235</v>
      </c>
      <c r="F113" t="inlineStr">
        <is>
          <t>VÄSTRA GÖTALANDS LÄN</t>
        </is>
      </c>
      <c r="G113" t="inlineStr">
        <is>
          <t>STRÖMSTAD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46235</v>
      </c>
      <c r="F114" t="inlineStr">
        <is>
          <t>VÄSTRA GÖTALANDS LÄN</t>
        </is>
      </c>
      <c r="G114" t="inlineStr">
        <is>
          <t>STRÖMSTAD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46235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22560-2023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45071</v>
      </c>
      <c r="E116" s="1" t="n">
        <v>46235</v>
      </c>
      <c r="F116" t="inlineStr">
        <is>
          <t>VÄSTRA GÖTALANDS LÄN</t>
        </is>
      </c>
      <c r="G116" t="inlineStr">
        <is>
          <t>STRÖMSTAD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46235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46235</v>
      </c>
      <c r="F118" t="inlineStr">
        <is>
          <t>VÄSTRA GÖTALANDS LÄN</t>
        </is>
      </c>
      <c r="G118" t="inlineStr">
        <is>
          <t>STRÖMSTAD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45385</v>
      </c>
      <c r="E119" s="1" t="n">
        <v>46235</v>
      </c>
      <c r="F119" t="inlineStr">
        <is>
          <t>VÄSTRA GÖTALANDS LÄN</t>
        </is>
      </c>
      <c r="G119" t="inlineStr">
        <is>
          <t>STRÖMSTAD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46235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46235</v>
      </c>
      <c r="F121" t="inlineStr">
        <is>
          <t>VÄSTRA GÖTALANDS LÄN</t>
        </is>
      </c>
      <c r="G121" t="inlineStr">
        <is>
          <t>STRÖMSTAD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46235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45316</v>
      </c>
      <c r="E123" s="1" t="n">
        <v>46235</v>
      </c>
      <c r="F123" t="inlineStr">
        <is>
          <t>VÄSTRA GÖTALANDS LÄN</t>
        </is>
      </c>
      <c r="G123" t="inlineStr">
        <is>
          <t>STRÖMSTAD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46235</v>
      </c>
      <c r="F124" t="inlineStr">
        <is>
          <t>VÄSTRA GÖTALANDS LÄN</t>
        </is>
      </c>
      <c r="G124" t="inlineStr">
        <is>
          <t>STRÖMSTAD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46235</v>
      </c>
      <c r="F125" t="inlineStr">
        <is>
          <t>VÄSTRA GÖTALANDS LÄN</t>
        </is>
      </c>
      <c r="G125" t="inlineStr">
        <is>
          <t>STRÖMSTAD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46235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56677-2023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46235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46235</v>
      </c>
      <c r="F128" t="inlineStr">
        <is>
          <t>VÄSTRA GÖTALANDS LÄN</t>
        </is>
      </c>
      <c r="G128" t="inlineStr">
        <is>
          <t>STRÖMSTAD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46235</v>
      </c>
      <c r="F129" t="inlineStr">
        <is>
          <t>VÄSTRA GÖTALANDS LÄN</t>
        </is>
      </c>
      <c r="G129" t="inlineStr">
        <is>
          <t>STRÖMSTAD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46235</v>
      </c>
      <c r="F130" t="inlineStr">
        <is>
          <t>VÄSTRA GÖTALANDS LÄN</t>
        </is>
      </c>
      <c r="G130" t="inlineStr">
        <is>
          <t>STRÖMSTAD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46235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46235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46235</v>
      </c>
      <c r="F133" t="inlineStr">
        <is>
          <t>VÄSTRA GÖTALANDS LÄN</t>
        </is>
      </c>
      <c r="G133" t="inlineStr">
        <is>
          <t>STRÖMSTAD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46235</v>
      </c>
      <c r="F134" t="inlineStr">
        <is>
          <t>VÄSTRA GÖTALANDS LÄN</t>
        </is>
      </c>
      <c r="G134" t="inlineStr">
        <is>
          <t>STRÖMSTAD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46235</v>
      </c>
      <c r="F135" t="inlineStr">
        <is>
          <t>VÄSTRA GÖTALANDS LÄN</t>
        </is>
      </c>
      <c r="G135" t="inlineStr">
        <is>
          <t>STRÖMSTAD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56130-2022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44886</v>
      </c>
      <c r="E136" s="1" t="n">
        <v>46235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45133</v>
      </c>
      <c r="E137" s="1" t="n">
        <v>46235</v>
      </c>
      <c r="F137" t="inlineStr">
        <is>
          <t>VÄSTRA GÖTALANDS LÄN</t>
        </is>
      </c>
      <c r="G137" t="inlineStr">
        <is>
          <t>STRÖMSTAD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46235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46235</v>
      </c>
      <c r="F139" t="inlineStr">
        <is>
          <t>VÄSTRA GÖTALANDS LÄN</t>
        </is>
      </c>
      <c r="G139" t="inlineStr">
        <is>
          <t>STRÖMSTAD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46182</v>
      </c>
      <c r="E140" s="1" t="n">
        <v>46235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46235</v>
      </c>
      <c r="F141" t="inlineStr">
        <is>
          <t>VÄSTRA GÖTALANDS LÄN</t>
        </is>
      </c>
      <c r="G141" t="inlineStr">
        <is>
          <t>STRÖMSTAD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44603</v>
      </c>
      <c r="E142" s="1" t="n">
        <v>46235</v>
      </c>
      <c r="F142" t="inlineStr">
        <is>
          <t>VÄSTRA GÖTALANDS LÄN</t>
        </is>
      </c>
      <c r="G142" t="inlineStr">
        <is>
          <t>STRÖMSTAD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46235</v>
      </c>
      <c r="F143" t="inlineStr">
        <is>
          <t>VÄSTRA GÖTALANDS LÄN</t>
        </is>
      </c>
      <c r="G143" t="inlineStr">
        <is>
          <t>STRÖMSTAD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46235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46235</v>
      </c>
      <c r="F145" t="inlineStr">
        <is>
          <t>VÄSTRA GÖTALANDS LÄN</t>
        </is>
      </c>
      <c r="G145" t="inlineStr">
        <is>
          <t>STRÖMSTAD</t>
        </is>
      </c>
      <c r="H145" t="inlineStr">
        <is>
          <t>Kommuner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44525</v>
      </c>
      <c r="E146" s="1" t="n">
        <v>46235</v>
      </c>
      <c r="F146" t="inlineStr">
        <is>
          <t>VÄSTRA GÖTALANDS LÄN</t>
        </is>
      </c>
      <c r="G146" t="inlineStr">
        <is>
          <t>STRÖMSTAD</t>
        </is>
      </c>
      <c r="I146" t="n">
        <v>15.5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46235</v>
      </c>
      <c r="F147" t="inlineStr">
        <is>
          <t>VÄSTRA GÖTALANDS LÄN</t>
        </is>
      </c>
      <c r="G147" t="inlineStr">
        <is>
          <t>STRÖMSTAD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46235</v>
      </c>
      <c r="F148" t="inlineStr">
        <is>
          <t>VÄSTRA GÖTALANDS LÄN</t>
        </is>
      </c>
      <c r="G148" t="inlineStr">
        <is>
          <t>STRÖMSTAD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46063</v>
      </c>
      <c r="E149" s="1" t="n">
        <v>46235</v>
      </c>
      <c r="F149" t="inlineStr">
        <is>
          <t>VÄSTRA GÖTALANDS LÄN</t>
        </is>
      </c>
      <c r="G149" t="inlineStr">
        <is>
          <t>STRÖMSTAD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46235</v>
      </c>
      <c r="F150" t="inlineStr">
        <is>
          <t>VÄSTRA GÖTALANDS LÄN</t>
        </is>
      </c>
      <c r="G150" t="inlineStr">
        <is>
          <t>STRÖMSTAD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46063</v>
      </c>
      <c r="E151" s="1" t="n">
        <v>46235</v>
      </c>
      <c r="F151" t="inlineStr">
        <is>
          <t>VÄSTRA GÖTALANDS LÄN</t>
        </is>
      </c>
      <c r="G151" t="inlineStr">
        <is>
          <t>STRÖMSTAD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44438</v>
      </c>
      <c r="E152" s="1" t="n">
        <v>46235</v>
      </c>
      <c r="F152" t="inlineStr">
        <is>
          <t>VÄSTRA GÖTALANDS LÄN</t>
        </is>
      </c>
      <c r="G152" t="inlineStr">
        <is>
          <t>STRÖMSTAD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46230</v>
      </c>
      <c r="E153" s="1" t="n">
        <v>46235</v>
      </c>
      <c r="F153" t="inlineStr">
        <is>
          <t>VÄSTRA GÖTALANDS LÄN</t>
        </is>
      </c>
      <c r="G153" t="inlineStr">
        <is>
          <t>STRÖMSTAD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46235</v>
      </c>
      <c r="F154" t="inlineStr">
        <is>
          <t>VÄSTRA GÖTALANDS LÄN</t>
        </is>
      </c>
      <c r="G154" t="inlineStr">
        <is>
          <t>STRÖMSTAD</t>
        </is>
      </c>
      <c r="I154" t="n">
        <v>10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46235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46235</v>
      </c>
      <c r="F156" t="inlineStr">
        <is>
          <t>VÄSTRA GÖTALANDS LÄN</t>
        </is>
      </c>
      <c r="G156" t="inlineStr">
        <is>
          <t>STRÖMSTAD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46235</v>
      </c>
      <c r="F157" t="inlineStr">
        <is>
          <t>VÄSTRA GÖTALANDS LÄN</t>
        </is>
      </c>
      <c r="G157" t="inlineStr">
        <is>
          <t>STRÖMSTAD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46235</v>
      </c>
      <c r="F158" t="inlineStr">
        <is>
          <t>VÄSTRA GÖTALANDS LÄN</t>
        </is>
      </c>
      <c r="G158" t="inlineStr">
        <is>
          <t>STRÖMSTAD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46235</v>
      </c>
      <c r="F159" t="inlineStr">
        <is>
          <t>VÄSTRA GÖTALANDS LÄN</t>
        </is>
      </c>
      <c r="G159" t="inlineStr">
        <is>
          <t>STRÖMSTAD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46235</v>
      </c>
      <c r="F160" t="inlineStr">
        <is>
          <t>VÄSTRA GÖTALANDS LÄN</t>
        </is>
      </c>
      <c r="G160" t="inlineStr">
        <is>
          <t>STRÖMSTAD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45646</v>
      </c>
      <c r="E161" s="1" t="n">
        <v>46235</v>
      </c>
      <c r="F161" t="inlineStr">
        <is>
          <t>VÄSTRA GÖTALANDS LÄN</t>
        </is>
      </c>
      <c r="G161" t="inlineStr">
        <is>
          <t>STRÖMSTAD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46235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46235</v>
      </c>
      <c r="F163" t="inlineStr">
        <is>
          <t>VÄSTRA GÖTALANDS LÄN</t>
        </is>
      </c>
      <c r="G163" t="inlineStr">
        <is>
          <t>STRÖMSTAD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46235</v>
      </c>
      <c r="F164" t="inlineStr">
        <is>
          <t>VÄSTRA GÖTALANDS LÄN</t>
        </is>
      </c>
      <c r="G164" t="inlineStr">
        <is>
          <t>STRÖMSTAD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38988-2024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46235</v>
      </c>
      <c r="F165" t="inlineStr">
        <is>
          <t>VÄSTRA GÖTALANDS LÄN</t>
        </is>
      </c>
      <c r="G165" t="inlineStr">
        <is>
          <t>STRÖMSTAD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46235</v>
      </c>
      <c r="F166" t="inlineStr">
        <is>
          <t>VÄSTRA GÖTALANDS LÄN</t>
        </is>
      </c>
      <c r="G166" t="inlineStr">
        <is>
          <t>STRÖMSTAD</t>
        </is>
      </c>
      <c r="H166" t="inlineStr">
        <is>
          <t>Kyrkan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46235</v>
      </c>
      <c r="F167" t="inlineStr">
        <is>
          <t>VÄSTRA GÖTALANDS LÄN</t>
        </is>
      </c>
      <c r="G167" t="inlineStr">
        <is>
          <t>STRÖMSTAD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45217</v>
      </c>
      <c r="E168" s="1" t="n">
        <v>46235</v>
      </c>
      <c r="F168" t="inlineStr">
        <is>
          <t>VÄSTRA GÖTALANDS LÄN</t>
        </is>
      </c>
      <c r="G168" t="inlineStr">
        <is>
          <t>STRÖMSTAD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46235</v>
      </c>
      <c r="F169" t="inlineStr">
        <is>
          <t>VÄSTRA GÖTALANDS LÄN</t>
        </is>
      </c>
      <c r="G169" t="inlineStr">
        <is>
          <t>STRÖMSTAD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46235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46235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46235</v>
      </c>
      <c r="F172" t="inlineStr">
        <is>
          <t>VÄSTRA GÖTALANDS LÄN</t>
        </is>
      </c>
      <c r="G172" t="inlineStr">
        <is>
          <t>STRÖMSTAD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46235</v>
      </c>
      <c r="F173" t="inlineStr">
        <is>
          <t>VÄSTRA GÖTALANDS LÄN</t>
        </is>
      </c>
      <c r="G173" t="inlineStr">
        <is>
          <t>STRÖMSTAD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46235</v>
      </c>
      <c r="F174" t="inlineStr">
        <is>
          <t>VÄSTRA GÖTALANDS LÄN</t>
        </is>
      </c>
      <c r="G174" t="inlineStr">
        <is>
          <t>STRÖMSTAD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46235</v>
      </c>
      <c r="F175" t="inlineStr">
        <is>
          <t>VÄSTRA GÖTALANDS LÄN</t>
        </is>
      </c>
      <c r="G175" t="inlineStr">
        <is>
          <t>STRÖMSTAD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46235</v>
      </c>
      <c r="F176" t="inlineStr">
        <is>
          <t>VÄSTRA GÖTALANDS LÄN</t>
        </is>
      </c>
      <c r="G176" t="inlineStr">
        <is>
          <t>STRÖMSTAD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46235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46235</v>
      </c>
      <c r="F178" t="inlineStr">
        <is>
          <t>VÄSTRA GÖTALANDS LÄN</t>
        </is>
      </c>
      <c r="G178" t="inlineStr">
        <is>
          <t>STRÖMSTAD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46235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46235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46235</v>
      </c>
      <c r="F181" t="inlineStr">
        <is>
          <t>VÄSTRA GÖTALANDS LÄN</t>
        </is>
      </c>
      <c r="G181" t="inlineStr">
        <is>
          <t>STRÖMSTAD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46235</v>
      </c>
      <c r="F182" t="inlineStr">
        <is>
          <t>VÄSTRA GÖTALANDS LÄN</t>
        </is>
      </c>
      <c r="G182" t="inlineStr">
        <is>
          <t>STRÖMSTAD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46235</v>
      </c>
      <c r="F183" t="inlineStr">
        <is>
          <t>VÄSTRA GÖTALANDS LÄN</t>
        </is>
      </c>
      <c r="G183" t="inlineStr">
        <is>
          <t>STRÖMSTAD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46235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46235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46235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46235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46103</v>
      </c>
      <c r="E188" s="1" t="n">
        <v>46235</v>
      </c>
      <c r="F188" t="inlineStr">
        <is>
          <t>VÄSTRA GÖTALANDS LÄN</t>
        </is>
      </c>
      <c r="G188" t="inlineStr">
        <is>
          <t>STRÖMSTAD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46235</v>
      </c>
      <c r="F189" t="inlineStr">
        <is>
          <t>VÄSTRA GÖTALANDS LÄN</t>
        </is>
      </c>
      <c r="G189" t="inlineStr">
        <is>
          <t>STRÖMSTAD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46235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45716</v>
      </c>
      <c r="E191" s="1" t="n">
        <v>46235</v>
      </c>
      <c r="F191" t="inlineStr">
        <is>
          <t>VÄSTRA GÖTALANDS LÄN</t>
        </is>
      </c>
      <c r="G191" t="inlineStr">
        <is>
          <t>STRÖMSTAD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45739</v>
      </c>
      <c r="E192" s="1" t="n">
        <v>46235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46235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46235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46235</v>
      </c>
      <c r="F195" t="inlineStr">
        <is>
          <t>VÄSTRA GÖTALANDS LÄN</t>
        </is>
      </c>
      <c r="G195" t="inlineStr">
        <is>
          <t>STRÖMSTAD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44892</v>
      </c>
      <c r="E196" s="1" t="n">
        <v>46235</v>
      </c>
      <c r="F196" t="inlineStr">
        <is>
          <t>VÄSTRA GÖTALANDS LÄN</t>
        </is>
      </c>
      <c r="G196" t="inlineStr">
        <is>
          <t>STRÖMSTAD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46235</v>
      </c>
      <c r="F197" t="inlineStr">
        <is>
          <t>VÄSTRA GÖTALANDS LÄN</t>
        </is>
      </c>
      <c r="G197" t="inlineStr">
        <is>
          <t>STRÖMSTAD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46235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46235</v>
      </c>
      <c r="F199" t="inlineStr">
        <is>
          <t>VÄSTRA GÖTALANDS LÄN</t>
        </is>
      </c>
      <c r="G199" t="inlineStr">
        <is>
          <t>STRÖMSTAD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44649</v>
      </c>
      <c r="E200" s="1" t="n">
        <v>46235</v>
      </c>
      <c r="F200" t="inlineStr">
        <is>
          <t>VÄSTRA GÖTALANDS LÄN</t>
        </is>
      </c>
      <c r="G200" t="inlineStr">
        <is>
          <t>STRÖMSTAD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46235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46235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46235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46235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46235</v>
      </c>
      <c r="F205" t="inlineStr">
        <is>
          <t>VÄSTRA GÖTALANDS LÄN</t>
        </is>
      </c>
      <c r="G205" t="inlineStr">
        <is>
          <t>STRÖMSTAD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46235</v>
      </c>
      <c r="F206" t="inlineStr">
        <is>
          <t>VÄSTRA GÖTALANDS LÄN</t>
        </is>
      </c>
      <c r="G206" t="inlineStr">
        <is>
          <t>STRÖMSTAD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46235</v>
      </c>
      <c r="F207" t="inlineStr">
        <is>
          <t>VÄSTRA GÖTALANDS LÄN</t>
        </is>
      </c>
      <c r="G207" t="inlineStr">
        <is>
          <t>STRÖMSTAD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46235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46235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46235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2026-08-01T01:47:42Z</dcterms:created>
  <dcterms:modified xmlns:dcterms="http://purl.org/dc/terms/" xmlns:xsi="http://www.w3.org/2001/XMLSchema-instance" xsi:type="dcterms:W3CDTF">2026-08-01T01:47:43Z</dcterms:modified>
</cp:coreProperties>
</file>