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45343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45343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45343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45343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45343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  <c r="Z6">
        <f>HYPERLINK("https://klasma.github.io/Logging_1486/fåglar/A 31970-2019 prioriterade fågelarter.docx",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45343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45343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45343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45343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45343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45343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45343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45343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45343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  <c r="Z15">
        <f>HYPERLINK("https://klasma.github.io/Logging_1486/fåglar/A 4173-2022 prioriterade fågelarter.docx", "A 4173-2022")</f>
        <v/>
      </c>
    </row>
    <row r="16" ht="15" customHeight="1">
      <c r="A16" t="inlineStr">
        <is>
          <t>A 984-2019</t>
        </is>
      </c>
      <c r="B16" s="1" t="n">
        <v>43430</v>
      </c>
      <c r="C16" s="1" t="n">
        <v>45343</v>
      </c>
      <c r="D16" t="inlineStr">
        <is>
          <t>VÄSTRA GÖTALANDS LÄN</t>
        </is>
      </c>
      <c r="E16" t="inlineStr">
        <is>
          <t>STRÖMSTAD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HYPERLINK("https://klasma.github.io/Logging_1486/artfynd/A 984-2019 artfynd.xlsx", "A 984-2019")</f>
        <v/>
      </c>
      <c r="T16">
        <f>HYPERLINK("https://klasma.github.io/Logging_1486/kartor/A 984-2019 karta.png", "A 984-2019")</f>
        <v/>
      </c>
      <c r="V16">
        <f>HYPERLINK("https://klasma.github.io/Logging_1486/klagomål/A 984-2019 FSC-klagomål.docx", "A 984-2019")</f>
        <v/>
      </c>
      <c r="W16">
        <f>HYPERLINK("https://klasma.github.io/Logging_1486/klagomålsmail/A 984-2019 FSC-klagomål mail.docx", "A 984-2019")</f>
        <v/>
      </c>
      <c r="X16">
        <f>HYPERLINK("https://klasma.github.io/Logging_1486/tillsyn/A 984-2019 tillsynsbegäran.docx", "A 984-2019")</f>
        <v/>
      </c>
      <c r="Y16">
        <f>HYPERLINK("https://klasma.github.io/Logging_1486/tillsynsmail/A 984-2019 tillsynsbegäran mail.docx", "A 984-2019")</f>
        <v/>
      </c>
    </row>
    <row r="17" ht="15" customHeight="1">
      <c r="A17" t="inlineStr">
        <is>
          <t>A 7008-2019</t>
        </is>
      </c>
      <c r="B17" s="1" t="n">
        <v>43489</v>
      </c>
      <c r="C17" s="1" t="n">
        <v>45343</v>
      </c>
      <c r="D17" t="inlineStr">
        <is>
          <t>VÄSTRA GÖTALANDS LÄN</t>
        </is>
      </c>
      <c r="E17" t="inlineStr">
        <is>
          <t>STRÖMSTAD</t>
        </is>
      </c>
      <c r="G17" t="n">
        <v>13.3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7008-2019 artfynd.xlsx", "A 7008-2019")</f>
        <v/>
      </c>
      <c r="T17">
        <f>HYPERLINK("https://klasma.github.io/Logging_1486/kartor/A 7008-2019 karta.png", "A 7008-2019")</f>
        <v/>
      </c>
      <c r="U17">
        <f>HYPERLINK("https://klasma.github.io/Logging_1486/knärot/A 7008-2019 karta knärot.png", "A 7008-2019")</f>
        <v/>
      </c>
      <c r="V17">
        <f>HYPERLINK("https://klasma.github.io/Logging_1486/klagomål/A 7008-2019 FSC-klagomål.docx", "A 7008-2019")</f>
        <v/>
      </c>
      <c r="W17">
        <f>HYPERLINK("https://klasma.github.io/Logging_1486/klagomålsmail/A 7008-2019 FSC-klagomål mail.docx", "A 7008-2019")</f>
        <v/>
      </c>
      <c r="X17">
        <f>HYPERLINK("https://klasma.github.io/Logging_1486/tillsyn/A 7008-2019 tillsynsbegäran.docx", "A 7008-2019")</f>
        <v/>
      </c>
      <c r="Y17">
        <f>HYPERLINK("https://klasma.github.io/Logging_1486/tillsynsmail/A 7008-2019 tillsynsbegäran mail.docx", "A 7008-2019")</f>
        <v/>
      </c>
    </row>
    <row r="18" ht="15" customHeight="1">
      <c r="A18" t="inlineStr">
        <is>
          <t>A 11845-2019</t>
        </is>
      </c>
      <c r="B18" s="1" t="n">
        <v>43521</v>
      </c>
      <c r="C18" s="1" t="n">
        <v>45343</v>
      </c>
      <c r="D18" t="inlineStr">
        <is>
          <t>VÄSTRA GÖTALANDS LÄN</t>
        </is>
      </c>
      <c r="E18" t="inlineStr">
        <is>
          <t>STRÖMSTAD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HYPERLINK("https://klasma.github.io/Logging_1486/artfynd/A 11845-2019 artfynd.xlsx", "A 11845-2019")</f>
        <v/>
      </c>
      <c r="T18">
        <f>HYPERLINK("https://klasma.github.io/Logging_1486/kartor/A 11845-2019 karta.png", "A 11845-2019")</f>
        <v/>
      </c>
      <c r="V18">
        <f>HYPERLINK("https://klasma.github.io/Logging_1486/klagomål/A 11845-2019 FSC-klagomål.docx", "A 11845-2019")</f>
        <v/>
      </c>
      <c r="W18">
        <f>HYPERLINK("https://klasma.github.io/Logging_1486/klagomålsmail/A 11845-2019 FSC-klagomål mail.docx", "A 11845-2019")</f>
        <v/>
      </c>
      <c r="X18">
        <f>HYPERLINK("https://klasma.github.io/Logging_1486/tillsyn/A 11845-2019 tillsynsbegäran.docx", "A 11845-2019")</f>
        <v/>
      </c>
      <c r="Y18">
        <f>HYPERLINK("https://klasma.github.io/Logging_1486/tillsynsmail/A 11845-2019 tillsynsbegäran mail.docx", "A 11845-2019")</f>
        <v/>
      </c>
      <c r="Z18">
        <f>HYPERLINK("https://klasma.github.io/Logging_1486/fåglar/A 11845-2019 prioriterade fågelarter.docx", "A 11845-2019")</f>
        <v/>
      </c>
    </row>
    <row r="19" ht="15" customHeight="1">
      <c r="A19" t="inlineStr">
        <is>
          <t>A 16778-2019</t>
        </is>
      </c>
      <c r="B19" s="1" t="n">
        <v>43549</v>
      </c>
      <c r="C19" s="1" t="n">
        <v>45343</v>
      </c>
      <c r="D19" t="inlineStr">
        <is>
          <t>VÄSTRA GÖTALANDS LÄN</t>
        </is>
      </c>
      <c r="E19" t="inlineStr">
        <is>
          <t>STRÖMSTAD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HYPERLINK("https://klasma.github.io/Logging_1486/artfynd/A 16778-2019 artfynd.xlsx", "A 16778-2019")</f>
        <v/>
      </c>
      <c r="T19">
        <f>HYPERLINK("https://klasma.github.io/Logging_1486/kartor/A 16778-2019 karta.png", "A 16778-2019")</f>
        <v/>
      </c>
      <c r="V19">
        <f>HYPERLINK("https://klasma.github.io/Logging_1486/klagomål/A 16778-2019 FSC-klagomål.docx", "A 16778-2019")</f>
        <v/>
      </c>
      <c r="W19">
        <f>HYPERLINK("https://klasma.github.io/Logging_1486/klagomålsmail/A 16778-2019 FSC-klagomål mail.docx", "A 16778-2019")</f>
        <v/>
      </c>
      <c r="X19">
        <f>HYPERLINK("https://klasma.github.io/Logging_1486/tillsyn/A 16778-2019 tillsynsbegäran.docx", "A 16778-2019")</f>
        <v/>
      </c>
      <c r="Y19">
        <f>HYPERLINK("https://klasma.github.io/Logging_1486/tillsynsmail/A 16778-2019 tillsynsbegäran mail.docx", "A 16778-2019")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45343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45343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45343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45343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45343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45343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45343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45343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45343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45343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57511-2023</t>
        </is>
      </c>
      <c r="B30" s="1" t="n">
        <v>45242</v>
      </c>
      <c r="C30" s="1" t="n">
        <v>45343</v>
      </c>
      <c r="D30" t="inlineStr">
        <is>
          <t>VÄSTRA GÖTALANDS LÄN</t>
        </is>
      </c>
      <c r="E30" t="inlineStr">
        <is>
          <t>STRÖMSTAD</t>
        </is>
      </c>
      <c r="G30" t="n">
        <v>5.7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HYPERLINK("https://klasma.github.io/Logging_1486/artfynd/A 57511-2023 artfynd.xlsx", "A 57511-2023")</f>
        <v/>
      </c>
      <c r="T30">
        <f>HYPERLINK("https://klasma.github.io/Logging_1486/kartor/A 57511-2023 karta.png", "A 57511-2023")</f>
        <v/>
      </c>
      <c r="U30">
        <f>HYPERLINK("https://klasma.github.io/Logging_1486/knärot/A 57511-2023 karta knärot.png", "A 57511-2023")</f>
        <v/>
      </c>
      <c r="V30">
        <f>HYPERLINK("https://klasma.github.io/Logging_1486/klagomål/A 57511-2023 FSC-klagomål.docx", "A 57511-2023")</f>
        <v/>
      </c>
      <c r="W30">
        <f>HYPERLINK("https://klasma.github.io/Logging_1486/klagomålsmail/A 57511-2023 FSC-klagomål mail.docx", "A 57511-2023")</f>
        <v/>
      </c>
      <c r="X30">
        <f>HYPERLINK("https://klasma.github.io/Logging_1486/tillsyn/A 57511-2023 tillsynsbegäran.docx", "A 57511-2023")</f>
        <v/>
      </c>
      <c r="Y30">
        <f>HYPERLINK("https://klasma.github.io/Logging_1486/tillsynsmail/A 57511-2023 tillsynsbegäran mail.docx", "A 57511-2023")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45343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45343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45343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45343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45343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45343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45343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45343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45343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45343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45343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45343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45343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45343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45343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45343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45343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45343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45343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45343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45343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45343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45343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45343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45343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45343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45343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45343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45343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45343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45343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45343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45343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45343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45343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45343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45343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45343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45343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45343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45343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45343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45343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45343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45343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45343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45343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45343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45343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45343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45343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45343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45343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45343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45343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45343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45343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45343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45343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45343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45343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45343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45343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45343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45343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45343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45343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45343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45343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45343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45343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45343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45343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45343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45343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45343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45343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45343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45343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45343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45343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45343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45343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45343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45343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45343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45343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45343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45343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45343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45343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45343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45343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45343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45343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45343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45343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45343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45343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45343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45343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45343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45343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45343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45343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45343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45343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45343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45343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45343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45343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45343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45343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45343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45343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45343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45343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45343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45343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45343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45343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45343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45343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45343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45343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45343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45343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45343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45343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45343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45343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45343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45343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45343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45343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45343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45343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45343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45343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45343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45343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45343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45343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45343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45343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45343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45343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45343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45343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45343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45343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45343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45343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45343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45343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45343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45343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45343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45343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45343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45343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45343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45343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45343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45343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45343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45343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45343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45343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45343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45343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45343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45343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45343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45343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45343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45343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45343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45343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45343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45343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45343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45343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45343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45343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45343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45343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45343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45343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45343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45343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45343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45343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45343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45343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45343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45343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45343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45343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45343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45343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45343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45343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45343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45343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45343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45343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45343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45343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45343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45343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45343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45343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45343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45343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45343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45343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45343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45343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45343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45343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45343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45343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45343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45343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45343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45343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45343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45343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45343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45343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45343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45343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45343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45343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45343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45343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45343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45343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45343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45343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45343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45343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45343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45343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45343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45343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45343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45343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45343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45343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45343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45343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45343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45343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45343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45343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56602-2023</t>
        </is>
      </c>
      <c r="B288" s="1" t="n">
        <v>45243</v>
      </c>
      <c r="C288" s="1" t="n">
        <v>45343</v>
      </c>
      <c r="D288" t="inlineStr">
        <is>
          <t>VÄSTRA GÖTALANDS LÄN</t>
        </is>
      </c>
      <c r="E288" t="inlineStr">
        <is>
          <t>STRÖMSTAD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56677-2023</t>
        </is>
      </c>
      <c r="B289" s="1" t="n">
        <v>45243</v>
      </c>
      <c r="C289" s="1" t="n">
        <v>45343</v>
      </c>
      <c r="D289" t="inlineStr">
        <is>
          <t>VÄSTRA GÖTALANDS LÄN</t>
        </is>
      </c>
      <c r="E289" t="inlineStr">
        <is>
          <t>STRÖMSTAD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56603-2023</t>
        </is>
      </c>
      <c r="B290" s="1" t="n">
        <v>45243</v>
      </c>
      <c r="C290" s="1" t="n">
        <v>45343</v>
      </c>
      <c r="D290" t="inlineStr">
        <is>
          <t>VÄSTRA GÖTALANDS LÄN</t>
        </is>
      </c>
      <c r="E290" t="inlineStr">
        <is>
          <t>STRÖMSTAD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61125-2023</t>
        </is>
      </c>
      <c r="B291" s="1" t="n">
        <v>45261</v>
      </c>
      <c r="C291" s="1" t="n">
        <v>45343</v>
      </c>
      <c r="D291" t="inlineStr">
        <is>
          <t>VÄSTRA GÖTALANDS LÄN</t>
        </is>
      </c>
      <c r="E291" t="inlineStr">
        <is>
          <t>STRÖMSTAD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63271-2023</t>
        </is>
      </c>
      <c r="B292" s="1" t="n">
        <v>45273</v>
      </c>
      <c r="C292" s="1" t="n">
        <v>45343</v>
      </c>
      <c r="D292" t="inlineStr">
        <is>
          <t>VÄSTRA GÖTALANDS LÄN</t>
        </is>
      </c>
      <c r="E292" t="inlineStr">
        <is>
          <t>STRÖMSTAD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64707-2023</t>
        </is>
      </c>
      <c r="B293" s="1" t="n">
        <v>45281</v>
      </c>
      <c r="C293" s="1" t="n">
        <v>45343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Kommuner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HYPERLINK("https://klasma.github.io/Logging_1486/knärot/A 64707-2023 karta knärot.png", "A 64707-2023")</f>
        <v/>
      </c>
      <c r="V293">
        <f>HYPERLINK("https://klasma.github.io/Logging_1486/klagomål/A 64707-2023 FSC-klagomål.docx", "A 64707-2023")</f>
        <v/>
      </c>
      <c r="W293">
        <f>HYPERLINK("https://klasma.github.io/Logging_1486/klagomålsmail/A 64707-2023 FSC-klagomål mail.docx", "A 64707-2023")</f>
        <v/>
      </c>
      <c r="X293">
        <f>HYPERLINK("https://klasma.github.io/Logging_1486/tillsyn/A 64707-2023 tillsynsbegäran.docx", "A 64707-2023")</f>
        <v/>
      </c>
      <c r="Y293">
        <f>HYPERLINK("https://klasma.github.io/Logging_1486/tillsynsmail/A 64707-2023 tillsynsbegäran mail.docx", "A 64707-2023")</f>
        <v/>
      </c>
    </row>
    <row r="294" ht="15" customHeight="1">
      <c r="A294" t="inlineStr">
        <is>
          <t>A 990-2024</t>
        </is>
      </c>
      <c r="B294" s="1" t="n">
        <v>45301</v>
      </c>
      <c r="C294" s="1" t="n">
        <v>45343</v>
      </c>
      <c r="D294" t="inlineStr">
        <is>
          <t>VÄSTRA GÖTALANDS LÄN</t>
        </is>
      </c>
      <c r="E294" t="inlineStr">
        <is>
          <t>STRÖMSTAD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994-2024</t>
        </is>
      </c>
      <c r="B295" s="1" t="n">
        <v>45301</v>
      </c>
      <c r="C295" s="1" t="n">
        <v>45343</v>
      </c>
      <c r="D295" t="inlineStr">
        <is>
          <t>VÄSTRA GÖTALANDS LÄN</t>
        </is>
      </c>
      <c r="E295" t="inlineStr">
        <is>
          <t>STRÖMSTAD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989-2024</t>
        </is>
      </c>
      <c r="B296" s="1" t="n">
        <v>45301</v>
      </c>
      <c r="C296" s="1" t="n">
        <v>45343</v>
      </c>
      <c r="D296" t="inlineStr">
        <is>
          <t>VÄSTRA GÖTALANDS LÄN</t>
        </is>
      </c>
      <c r="E296" t="inlineStr">
        <is>
          <t>STRÖMSTAD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1374-2024</t>
        </is>
      </c>
      <c r="B297" s="1" t="n">
        <v>45303</v>
      </c>
      <c r="C297" s="1" t="n">
        <v>45343</v>
      </c>
      <c r="D297" t="inlineStr">
        <is>
          <t>VÄSTRA GÖTALANDS LÄN</t>
        </is>
      </c>
      <c r="E297" t="inlineStr">
        <is>
          <t>STRÖMSTAD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3178-2024</t>
        </is>
      </c>
      <c r="B298" s="1" t="n">
        <v>45316</v>
      </c>
      <c r="C298" s="1" t="n">
        <v>45343</v>
      </c>
      <c r="D298" t="inlineStr">
        <is>
          <t>VÄSTRA GÖTALANDS LÄN</t>
        </is>
      </c>
      <c r="E298" t="inlineStr">
        <is>
          <t>STRÖMSTAD</t>
        </is>
      </c>
      <c r="F298" t="inlineStr">
        <is>
          <t>Kommuner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3187-2024</t>
        </is>
      </c>
      <c r="B299" s="1" t="n">
        <v>45316</v>
      </c>
      <c r="C299" s="1" t="n">
        <v>45343</v>
      </c>
      <c r="D299" t="inlineStr">
        <is>
          <t>VÄSTRA GÖTALANDS LÄN</t>
        </is>
      </c>
      <c r="E299" t="inlineStr">
        <is>
          <t>STRÖMSTAD</t>
        </is>
      </c>
      <c r="F299" t="inlineStr">
        <is>
          <t>Kommuner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3391-2024</t>
        </is>
      </c>
      <c r="B300" s="1" t="n">
        <v>45318</v>
      </c>
      <c r="C300" s="1" t="n">
        <v>45343</v>
      </c>
      <c r="D300" t="inlineStr">
        <is>
          <t>VÄSTRA GÖTALANDS LÄN</t>
        </is>
      </c>
      <c r="E300" t="inlineStr">
        <is>
          <t>STRÖMSTAD</t>
        </is>
      </c>
      <c r="F300" t="inlineStr">
        <is>
          <t>Kommuner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>
      <c r="A301" t="inlineStr">
        <is>
          <t>A 5326-2024</t>
        </is>
      </c>
      <c r="B301" s="1" t="n">
        <v>45331</v>
      </c>
      <c r="C301" s="1" t="n">
        <v>45343</v>
      </c>
      <c r="D301" t="inlineStr">
        <is>
          <t>VÄSTRA GÖTALANDS LÄN</t>
        </is>
      </c>
      <c r="E301" t="inlineStr">
        <is>
          <t>STRÖMSTAD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2024-02-21T06:57:15Z</dcterms:created>
  <dcterms:modified xmlns:dcterms="http://purl.org/dc/terms/" xmlns:xsi="http://www.w3.org/2001/XMLSchema-instance" xsi:type="dcterms:W3CDTF">2024-02-21T06:57:15Z</dcterms:modified>
</cp:coreProperties>
</file>