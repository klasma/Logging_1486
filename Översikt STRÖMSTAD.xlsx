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45363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45363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45363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45363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45363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45363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45363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45363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45363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45363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45363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45363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45363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45363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57511-2023</t>
        </is>
      </c>
      <c r="B16" s="1" t="n">
        <v>45242</v>
      </c>
      <c r="C16" s="1" t="n">
        <v>45363</v>
      </c>
      <c r="D16" t="inlineStr">
        <is>
          <t>VÄSTRA GÖTALANDS LÄN</t>
        </is>
      </c>
      <c r="E16" t="inlineStr">
        <is>
          <t>STRÖMSTAD</t>
        </is>
      </c>
      <c r="G16" t="n">
        <v>5.7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HYPERLINK("https://klasma.github.io/Logging_1486/artfynd/A 57511-2023 artfynd.xlsx", "A 57511-2023")</f>
        <v/>
      </c>
      <c r="T16">
        <f>HYPERLINK("https://klasma.github.io/Logging_1486/kartor/A 57511-2023 karta.png", "A 57511-2023")</f>
        <v/>
      </c>
      <c r="U16">
        <f>HYPERLINK("https://klasma.github.io/Logging_1486/knärot/A 57511-2023 karta knärot.png", "A 57511-2023")</f>
        <v/>
      </c>
      <c r="V16">
        <f>HYPERLINK("https://klasma.github.io/Logging_1486/klagomål/A 57511-2023 FSC-klagomål.docx", "A 57511-2023")</f>
        <v/>
      </c>
      <c r="W16">
        <f>HYPERLINK("https://klasma.github.io/Logging_1486/klagomålsmail/A 57511-2023 FSC-klagomål mail.docx", "A 57511-2023")</f>
        <v/>
      </c>
      <c r="X16">
        <f>HYPERLINK("https://klasma.github.io/Logging_1486/tillsyn/A 57511-2023 tillsynsbegäran.docx", "A 57511-2023")</f>
        <v/>
      </c>
      <c r="Y16">
        <f>HYPERLINK("https://klasma.github.io/Logging_1486/tillsynsmail/A 57511-2023 tillsynsbegäran mail.docx", "A 57511-2023")</f>
        <v/>
      </c>
      <c r="Z16">
        <f>HYPERLINK("https://klasma.github.io/Logging_1486/fåglar/A 57511-2023 prioriterade fågelarter.docx", "A 57511-2023")</f>
        <v/>
      </c>
    </row>
    <row r="17" ht="15" customHeight="1">
      <c r="A17" t="inlineStr">
        <is>
          <t>A 984-2019</t>
        </is>
      </c>
      <c r="B17" s="1" t="n">
        <v>43430</v>
      </c>
      <c r="C17" s="1" t="n">
        <v>45363</v>
      </c>
      <c r="D17" t="inlineStr">
        <is>
          <t>VÄSTRA GÖTALANDS LÄN</t>
        </is>
      </c>
      <c r="E17" t="inlineStr">
        <is>
          <t>STRÖMSTAD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HYPERLINK("https://klasma.github.io/Logging_1486/artfynd/A 984-2019 artfynd.xlsx", "A 984-2019")</f>
        <v/>
      </c>
      <c r="T17">
        <f>HYPERLINK("https://klasma.github.io/Logging_1486/kartor/A 984-2019 karta.png", "A 984-2019")</f>
        <v/>
      </c>
      <c r="V17">
        <f>HYPERLINK("https://klasma.github.io/Logging_1486/klagomål/A 984-2019 FSC-klagomål.docx", "A 984-2019")</f>
        <v/>
      </c>
      <c r="W17">
        <f>HYPERLINK("https://klasma.github.io/Logging_1486/klagomålsmail/A 984-2019 FSC-klagomål mail.docx", "A 984-2019")</f>
        <v/>
      </c>
      <c r="X17">
        <f>HYPERLINK("https://klasma.github.io/Logging_1486/tillsyn/A 984-2019 tillsynsbegäran.docx", "A 984-2019")</f>
        <v/>
      </c>
      <c r="Y17">
        <f>HYPERLINK("https://klasma.github.io/Logging_1486/tillsynsmail/A 984-2019 tillsynsbegäran mail.docx", "A 984-2019")</f>
        <v/>
      </c>
    </row>
    <row r="18" ht="15" customHeight="1">
      <c r="A18" t="inlineStr">
        <is>
          <t>A 7008-2019</t>
        </is>
      </c>
      <c r="B18" s="1" t="n">
        <v>43489</v>
      </c>
      <c r="C18" s="1" t="n">
        <v>45363</v>
      </c>
      <c r="D18" t="inlineStr">
        <is>
          <t>VÄSTRA GÖTALANDS LÄN</t>
        </is>
      </c>
      <c r="E18" t="inlineStr">
        <is>
          <t>STRÖMSTAD</t>
        </is>
      </c>
      <c r="G18" t="n">
        <v>13.3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7008-2019 artfynd.xlsx", "A 7008-2019")</f>
        <v/>
      </c>
      <c r="T18">
        <f>HYPERLINK("https://klasma.github.io/Logging_1486/kartor/A 7008-2019 karta.png", "A 7008-2019")</f>
        <v/>
      </c>
      <c r="U18">
        <f>HYPERLINK("https://klasma.github.io/Logging_1486/knärot/A 7008-2019 karta knärot.png", "A 7008-2019")</f>
        <v/>
      </c>
      <c r="V18">
        <f>HYPERLINK("https://klasma.github.io/Logging_1486/klagomål/A 7008-2019 FSC-klagomål.docx", "A 7008-2019")</f>
        <v/>
      </c>
      <c r="W18">
        <f>HYPERLINK("https://klasma.github.io/Logging_1486/klagomålsmail/A 7008-2019 FSC-klagomål mail.docx", "A 7008-2019")</f>
        <v/>
      </c>
      <c r="X18">
        <f>HYPERLINK("https://klasma.github.io/Logging_1486/tillsyn/A 7008-2019 tillsynsbegäran.docx", "A 7008-2019")</f>
        <v/>
      </c>
      <c r="Y18">
        <f>HYPERLINK("https://klasma.github.io/Logging_1486/tillsynsmail/A 7008-2019 tillsynsbegäran mail.docx", "A 7008-2019")</f>
        <v/>
      </c>
    </row>
    <row r="19" ht="15" customHeight="1">
      <c r="A19" t="inlineStr">
        <is>
          <t>A 11845-2019</t>
        </is>
      </c>
      <c r="B19" s="1" t="n">
        <v>43521</v>
      </c>
      <c r="C19" s="1" t="n">
        <v>45363</v>
      </c>
      <c r="D19" t="inlineStr">
        <is>
          <t>VÄSTRA GÖTALANDS LÄN</t>
        </is>
      </c>
      <c r="E19" t="inlineStr">
        <is>
          <t>STRÖMSTAD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HYPERLINK("https://klasma.github.io/Logging_1486/artfynd/A 11845-2019 artfynd.xlsx", "A 11845-2019")</f>
        <v/>
      </c>
      <c r="T19">
        <f>HYPERLINK("https://klasma.github.io/Logging_1486/kartor/A 11845-2019 karta.png", "A 11845-2019")</f>
        <v/>
      </c>
      <c r="V19">
        <f>HYPERLINK("https://klasma.github.io/Logging_1486/klagomål/A 11845-2019 FSC-klagomål.docx", "A 11845-2019")</f>
        <v/>
      </c>
      <c r="W19">
        <f>HYPERLINK("https://klasma.github.io/Logging_1486/klagomålsmail/A 11845-2019 FSC-klagomål mail.docx", "A 11845-2019")</f>
        <v/>
      </c>
      <c r="X19">
        <f>HYPERLINK("https://klasma.github.io/Logging_1486/tillsyn/A 11845-2019 tillsynsbegäran.docx", "A 11845-2019")</f>
        <v/>
      </c>
      <c r="Y19">
        <f>HYPERLINK("https://klasma.github.io/Logging_1486/tillsynsmail/A 11845-2019 tillsynsbegäran mail.docx", "A 11845-2019")</f>
        <v/>
      </c>
      <c r="Z19">
        <f>HYPERLINK("https://klasma.github.io/Logging_1486/fåglar/A 11845-2019 prioriterade fågelarter.docx", "A 11845-2019")</f>
        <v/>
      </c>
    </row>
    <row r="20" ht="15" customHeight="1">
      <c r="A20" t="inlineStr">
        <is>
          <t>A 16778-2019</t>
        </is>
      </c>
      <c r="B20" s="1" t="n">
        <v>43549</v>
      </c>
      <c r="C20" s="1" t="n">
        <v>45363</v>
      </c>
      <c r="D20" t="inlineStr">
        <is>
          <t>VÄSTRA GÖTALANDS LÄN</t>
        </is>
      </c>
      <c r="E20" t="inlineStr">
        <is>
          <t>STRÖMSTAD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HYPERLINK("https://klasma.github.io/Logging_1486/artfynd/A 16778-2019 artfynd.xlsx", "A 16778-2019")</f>
        <v/>
      </c>
      <c r="T20">
        <f>HYPERLINK("https://klasma.github.io/Logging_1486/kartor/A 16778-2019 karta.png", "A 16778-2019")</f>
        <v/>
      </c>
      <c r="V20">
        <f>HYPERLINK("https://klasma.github.io/Logging_1486/klagomål/A 16778-2019 FSC-klagomål.docx", "A 16778-2019")</f>
        <v/>
      </c>
      <c r="W20">
        <f>HYPERLINK("https://klasma.github.io/Logging_1486/klagomålsmail/A 16778-2019 FSC-klagomål mail.docx", "A 16778-2019")</f>
        <v/>
      </c>
      <c r="X20">
        <f>HYPERLINK("https://klasma.github.io/Logging_1486/tillsyn/A 16778-2019 tillsynsbegäran.docx", "A 16778-2019")</f>
        <v/>
      </c>
      <c r="Y20">
        <f>HYPERLINK("https://klasma.github.io/Logging_1486/tillsynsmail/A 16778-2019 tillsynsbegäran mail.docx", "A 16778-2019")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45363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45363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45363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45363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45363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45363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45363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45363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45363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45363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45363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45363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45363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45363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45363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45363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45363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45363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45363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45363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45363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45363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45363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45363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45363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45363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45363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45363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45363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45363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45363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45363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45363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45363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45363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45363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45363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45363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45363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45363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45363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45363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45363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45363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45363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45363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45363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45363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45363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45363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45363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45363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45363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45363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45363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45363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45363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45363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45363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45363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45363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45363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45363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45363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45363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45363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45363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45363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45363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45363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45363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45363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45363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45363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45363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45363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45363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45363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45363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45363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45363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45363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45363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45363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45363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45363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45363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45363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45363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45363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45363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45363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45363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45363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45363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45363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45363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45363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45363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45363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45363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45363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45363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45363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45363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45363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45363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45363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45363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45363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45363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45363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45363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45363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45363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45363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45363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45363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45363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45363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45363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45363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45363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45363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45363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45363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45363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45363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45363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45363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45363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45363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45363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45363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45363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45363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45363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45363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45363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45363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45363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45363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45363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45363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45363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45363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45363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45363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45363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45363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45363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45363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45363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45363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45363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45363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45363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45363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45363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45363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45363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45363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45363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45363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45363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45363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45363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45363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45363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45363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45363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45363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45363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45363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45363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45363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45363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45363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45363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45363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45363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45363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45363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45363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45363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45363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45363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45363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45363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45363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45363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45363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45363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45363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45363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45363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45363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45363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45363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45363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45363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45363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45363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45363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45363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45363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45363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45363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45363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45363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45363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45363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45363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45363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45363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45363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45363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45363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45363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45363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45363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45363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45363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45363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45363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45363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45363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45363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45363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45363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45363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45363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45363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45363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45363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45363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45363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45363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45363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45363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45363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45363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45363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45363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45363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45363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45363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45363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45363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45363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45363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45363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45363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45363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45363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45363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45363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45363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45363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45363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45363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45363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45363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45363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45363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45363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45363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45363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45363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45363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45363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45363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45363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45363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45363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45363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45363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45363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45363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45363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45363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45363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45363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45363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8312-2024</t>
        </is>
      </c>
      <c r="B305" s="1" t="n">
        <v>45352</v>
      </c>
      <c r="C305" s="1" t="n">
        <v>45363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8316-2024</t>
        </is>
      </c>
      <c r="B306" s="1" t="n">
        <v>45352</v>
      </c>
      <c r="C306" s="1" t="n">
        <v>45363</v>
      </c>
      <c r="D306" t="inlineStr">
        <is>
          <t>VÄSTRA GÖTALANDS LÄN</t>
        </is>
      </c>
      <c r="E306" t="inlineStr">
        <is>
          <t>STRÖMSTAD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2024-03-12T14:00:23Z</dcterms:created>
  <dcterms:modified xmlns:dcterms="http://purl.org/dc/terms/" xmlns:xsi="http://www.w3.org/2001/XMLSchema-instance" xsi:type="dcterms:W3CDTF">2024-03-12T14:00:24Z</dcterms:modified>
</cp:coreProperties>
</file>