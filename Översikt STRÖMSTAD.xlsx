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46257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46257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46257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46257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46257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46257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46257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46257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46257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46257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46257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46257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46257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53485-2023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45230</v>
      </c>
      <c r="E18" s="1" t="n">
        <v>46257</v>
      </c>
      <c r="F18" t="inlineStr">
        <is>
          <t>VÄSTRA GÖTALANDS LÄN</t>
        </is>
      </c>
      <c r="G18" t="inlineStr">
        <is>
          <t>STRÖMSTAD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HYPERLINK("https://klasma.github.io/Logging_1486/artfynd/A 53485-2023 artfynd.xlsx", "A 53485-2023")</f>
        <v/>
      </c>
      <c r="X18">
        <f>HYPERLINK("https://klasma.github.io/Logging_1486/kartor/A 53485-2023 karta.png", "A 53485-2023")</f>
        <v/>
      </c>
      <c r="Y18">
        <f>HYPERLINK("https://klasma.github.io/Logging_1486/kartor_geotiff/A 53485-2023 georefererad karta.tif", "A 53485-2023")</f>
        <v/>
      </c>
      <c r="AA18">
        <f>HYPERLINK("https://klasma.github.io/Logging_1486/klagomål/A 53485-2023 FSC-klagomål.docx", "A 53485-2023")</f>
        <v/>
      </c>
      <c r="AB18">
        <f>HYPERLINK("https://klasma.github.io/Logging_1486/klagomålsmail/A 53485-2023 FSC-klagomål mail.docx", "A 53485-2023")</f>
        <v/>
      </c>
      <c r="AC18">
        <f>HYPERLINK("https://klasma.github.io/Logging_1486/tillsyn/A 53485-2023 tillsynsbegäran.docx", "A 53485-2023")</f>
        <v/>
      </c>
      <c r="AD18">
        <f>HYPERLINK("https://klasma.github.io/Logging_1486/tillsynsmail/A 53485-2023 tillsynsbegäran mail.docx", "A 53485-2023")</f>
        <v/>
      </c>
      <c r="AE18">
        <f>HYPERLINK("https://klasma.github.io/Logging_1486/fåglar/A 53485-2023 prioriterade fågelarter.docx", "A 53485-2023")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46257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33772-2023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45133</v>
      </c>
      <c r="E20" s="1" t="n">
        <v>46257</v>
      </c>
      <c r="F20" t="inlineStr">
        <is>
          <t>VÄSTRA GÖTALANDS LÄN</t>
        </is>
      </c>
      <c r="G20" t="inlineStr">
        <is>
          <t>STRÖMSTAD</t>
        </is>
      </c>
      <c r="I20" t="n">
        <v>2.2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Entita</t>
        </is>
      </c>
      <c r="W20">
        <f>HYPERLINK("https://klasma.github.io/Logging_1486/artfynd/A 33772-2023 artfynd.xlsx", "A 33772-2023")</f>
        <v/>
      </c>
      <c r="X20">
        <f>HYPERLINK("https://klasma.github.io/Logging_1486/kartor/A 33772-2023 karta.png", "A 33772-2023")</f>
        <v/>
      </c>
      <c r="Y20">
        <f>HYPERLINK("https://klasma.github.io/Logging_1486/kartor_geotiff/A 33772-2023 georefererad karta.tif", "A 33772-2023")</f>
        <v/>
      </c>
      <c r="AA20">
        <f>HYPERLINK("https://klasma.github.io/Logging_1486/klagomål/A 33772-2023 FSC-klagomål.docx", "A 33772-2023")</f>
        <v/>
      </c>
      <c r="AB20">
        <f>HYPERLINK("https://klasma.github.io/Logging_1486/klagomålsmail/A 33772-2023 FSC-klagomål mail.docx", "A 33772-2023")</f>
        <v/>
      </c>
      <c r="AC20">
        <f>HYPERLINK("https://klasma.github.io/Logging_1486/tillsyn/A 33772-2023 tillsynsbegäran.docx", "A 33772-2023")</f>
        <v/>
      </c>
      <c r="AD20">
        <f>HYPERLINK("https://klasma.github.io/Logging_1486/tillsynsmail/A 33772-2023 tillsynsbegäran mail.docx", "A 33772-2023")</f>
        <v/>
      </c>
      <c r="AE20">
        <f>HYPERLINK("https://klasma.github.io/Logging_1486/fåglar/A 33772-2023 prioriterade fågelarter.docx", "A 33772-2023")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46257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46257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46257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64707-2023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46257</v>
      </c>
      <c r="F24" t="inlineStr">
        <is>
          <t>VÄSTRA GÖTALANDS LÄN</t>
        </is>
      </c>
      <c r="G24" t="inlineStr">
        <is>
          <t>STRÖMSTAD</t>
        </is>
      </c>
      <c r="H24" t="inlineStr">
        <is>
          <t>Kommuner</t>
        </is>
      </c>
      <c r="I24" t="n">
        <v>11.9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HYPERLINK("https://klasma.github.io/Logging_1486/artfynd/A 64707-2023 artfynd.xlsx", "A 64707-2023")</f>
        <v/>
      </c>
      <c r="X24">
        <f>HYPERLINK("https://klasma.github.io/Logging_1486/kartor/A 64707-2023 karta.png", "A 64707-2023")</f>
        <v/>
      </c>
      <c r="Y24">
        <f>HYPERLINK("https://klasma.github.io/Logging_1486/kartor_geotiff/A 64707-2023 georefererad karta.tif", "A 64707-2023")</f>
        <v/>
      </c>
      <c r="Z24">
        <f>HYPERLINK("https://klasma.github.io/Logging_1486/knärot/A 64707-2023 karta knärot.png", "A 64707-2023")</f>
        <v/>
      </c>
      <c r="AA24">
        <f>HYPERLINK("https://klasma.github.io/Logging_1486/klagomål/A 64707-2023 FSC-klagomål.docx", "A 64707-2023")</f>
        <v/>
      </c>
      <c r="AB24">
        <f>HYPERLINK("https://klasma.github.io/Logging_1486/klagomålsmail/A 64707-2023 FSC-klagomål mail.docx", "A 64707-2023")</f>
        <v/>
      </c>
      <c r="AC24">
        <f>HYPERLINK("https://klasma.github.io/Logging_1486/tillsyn/A 64707-2023 tillsynsbegäran.docx", "A 64707-2023")</f>
        <v/>
      </c>
      <c r="AD24">
        <f>HYPERLINK("https://klasma.github.io/Logging_1486/tillsynsmail/A 64707-2023 tillsynsbegäran mail.docx", "A 64707-2023")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46257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46257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46257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46257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46257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46257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50227-2022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44865</v>
      </c>
      <c r="E31" s="1" t="n">
        <v>46257</v>
      </c>
      <c r="F31" t="inlineStr">
        <is>
          <t>VÄSTRA GÖTALANDS LÄN</t>
        </is>
      </c>
      <c r="G31" t="inlineStr">
        <is>
          <t>STRÖMSTAD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46257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46257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46257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46257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46257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46257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46257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46257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46257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46257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46257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46257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46257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46257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46257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46257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46257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46257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46257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46257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46257</v>
      </c>
      <c r="F52" t="inlineStr">
        <is>
          <t>VÄSTRA GÖTALANDS LÄN</t>
        </is>
      </c>
      <c r="G52" t="inlineStr">
        <is>
          <t>STRÖMSTAD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46257</v>
      </c>
      <c r="F53" t="inlineStr">
        <is>
          <t>VÄSTRA GÖTALANDS LÄN</t>
        </is>
      </c>
      <c r="G53" t="inlineStr">
        <is>
          <t>STRÖMSTAD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44848</v>
      </c>
      <c r="E54" s="1" t="n">
        <v>46257</v>
      </c>
      <c r="F54" t="inlineStr">
        <is>
          <t>VÄSTRA GÖTALANDS LÄN</t>
        </is>
      </c>
      <c r="G54" t="inlineStr">
        <is>
          <t>STRÖMSTAD</t>
        </is>
      </c>
      <c r="H54" t="inlineStr">
        <is>
          <t>Kommuner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46257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45018</v>
      </c>
      <c r="E56" s="1" t="n">
        <v>46257</v>
      </c>
      <c r="F56" t="inlineStr">
        <is>
          <t>VÄSTRA GÖTALANDS LÄN</t>
        </is>
      </c>
      <c r="G56" t="inlineStr">
        <is>
          <t>STRÖMSTAD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46257</v>
      </c>
      <c r="F57" t="inlineStr">
        <is>
          <t>VÄSTRA GÖTALANDS LÄN</t>
        </is>
      </c>
      <c r="G57" t="inlineStr">
        <is>
          <t>STRÖMSTAD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33745-2023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46257</v>
      </c>
      <c r="F58" t="inlineStr">
        <is>
          <t>VÄSTRA GÖTALANDS LÄN</t>
        </is>
      </c>
      <c r="G58" t="inlineStr">
        <is>
          <t>STRÖMSTAD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46257</v>
      </c>
      <c r="F59" t="inlineStr">
        <is>
          <t>VÄSTRA GÖTALANDS LÄN</t>
        </is>
      </c>
      <c r="G59" t="inlineStr">
        <is>
          <t>STRÖMSTAD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46257</v>
      </c>
      <c r="F60" t="inlineStr">
        <is>
          <t>VÄSTRA GÖTALANDS LÄN</t>
        </is>
      </c>
      <c r="G60" t="inlineStr">
        <is>
          <t>STRÖMSTAD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46257</v>
      </c>
      <c r="F61" t="inlineStr">
        <is>
          <t>VÄSTRA GÖTALANDS LÄN</t>
        </is>
      </c>
      <c r="G61" t="inlineStr">
        <is>
          <t>STRÖMSTAD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45331</v>
      </c>
      <c r="E62" s="1" t="n">
        <v>46257</v>
      </c>
      <c r="F62" t="inlineStr">
        <is>
          <t>VÄSTRA GÖTALANDS LÄN</t>
        </is>
      </c>
      <c r="G62" t="inlineStr">
        <is>
          <t>STRÖMSTAD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46257</v>
      </c>
      <c r="F63" t="inlineStr">
        <is>
          <t>VÄSTRA GÖTALANDS LÄN</t>
        </is>
      </c>
      <c r="G63" t="inlineStr">
        <is>
          <t>STRÖMSTAD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45646</v>
      </c>
      <c r="E64" s="1" t="n">
        <v>46257</v>
      </c>
      <c r="F64" t="inlineStr">
        <is>
          <t>VÄSTRA GÖTALANDS LÄN</t>
        </is>
      </c>
      <c r="G64" t="inlineStr">
        <is>
          <t>STRÖMSTAD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46257</v>
      </c>
      <c r="F65" t="inlineStr">
        <is>
          <t>VÄSTRA GÖTALANDS LÄN</t>
        </is>
      </c>
      <c r="G65" t="inlineStr">
        <is>
          <t>STRÖMSTAD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46257</v>
      </c>
      <c r="F66" t="inlineStr">
        <is>
          <t>VÄSTRA GÖTALANDS LÄN</t>
        </is>
      </c>
      <c r="G66" t="inlineStr">
        <is>
          <t>STRÖMSTAD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45316</v>
      </c>
      <c r="E67" s="1" t="n">
        <v>46257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12945-2024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46257</v>
      </c>
      <c r="F68" t="inlineStr">
        <is>
          <t>VÄSTRA GÖTALANDS LÄN</t>
        </is>
      </c>
      <c r="G68" t="inlineStr">
        <is>
          <t>STRÖMSTAD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44907</v>
      </c>
      <c r="E69" s="1" t="n">
        <v>46257</v>
      </c>
      <c r="F69" t="inlineStr">
        <is>
          <t>VÄSTRA GÖTALANDS LÄN</t>
        </is>
      </c>
      <c r="G69" t="inlineStr">
        <is>
          <t>STRÖMSTAD</t>
        </is>
      </c>
      <c r="I69" t="n">
        <v>10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44701</v>
      </c>
      <c r="E70" s="1" t="n">
        <v>46257</v>
      </c>
      <c r="F70" t="inlineStr">
        <is>
          <t>VÄSTRA GÖTALANDS LÄN</t>
        </is>
      </c>
      <c r="G70" t="inlineStr">
        <is>
          <t>STRÖMSTAD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16989-2023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45033</v>
      </c>
      <c r="E71" s="1" t="n">
        <v>46257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45366</v>
      </c>
      <c r="E72" s="1" t="n">
        <v>46257</v>
      </c>
      <c r="F72" t="inlineStr">
        <is>
          <t>VÄSTRA GÖTALANDS LÄN</t>
        </is>
      </c>
      <c r="G72" t="inlineStr">
        <is>
          <t>STRÖMSTAD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44883-2021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46257</v>
      </c>
      <c r="F73" t="inlineStr">
        <is>
          <t>VÄSTRA GÖTALANDS LÄN</t>
        </is>
      </c>
      <c r="G73" t="inlineStr">
        <is>
          <t>STRÖMSTAD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46257</v>
      </c>
      <c r="F74" t="inlineStr">
        <is>
          <t>VÄSTRA GÖTALANDS LÄN</t>
        </is>
      </c>
      <c r="G74" t="inlineStr">
        <is>
          <t>STRÖMSTAD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44885</v>
      </c>
      <c r="E75" s="1" t="n">
        <v>46257</v>
      </c>
      <c r="F75" t="inlineStr">
        <is>
          <t>VÄSTRA GÖTALANDS LÄN</t>
        </is>
      </c>
      <c r="G75" t="inlineStr">
        <is>
          <t>STRÖMSTAD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45579</v>
      </c>
      <c r="E76" s="1" t="n">
        <v>46257</v>
      </c>
      <c r="F76" t="inlineStr">
        <is>
          <t>VÄSTRA GÖTALANDS LÄN</t>
        </is>
      </c>
      <c r="G76" t="inlineStr">
        <is>
          <t>STRÖMSTAD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46257</v>
      </c>
      <c r="F77" t="inlineStr">
        <is>
          <t>VÄSTRA GÖTALANDS LÄN</t>
        </is>
      </c>
      <c r="G77" t="inlineStr">
        <is>
          <t>STRÖMSTAD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46257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46257</v>
      </c>
      <c r="F79" t="inlineStr">
        <is>
          <t>VÄSTRA GÖTALANDS LÄN</t>
        </is>
      </c>
      <c r="G79" t="inlineStr">
        <is>
          <t>STRÖMSTAD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29195-2024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45482</v>
      </c>
      <c r="E80" s="1" t="n">
        <v>46257</v>
      </c>
      <c r="F80" t="inlineStr">
        <is>
          <t>VÄSTRA GÖTALANDS LÄN</t>
        </is>
      </c>
      <c r="G80" t="inlineStr">
        <is>
          <t>STRÖMSTAD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46257</v>
      </c>
      <c r="F81" t="inlineStr">
        <is>
          <t>VÄSTRA GÖTALANDS LÄN</t>
        </is>
      </c>
      <c r="G81" t="inlineStr">
        <is>
          <t>STRÖMSTAD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46257</v>
      </c>
      <c r="F82" t="inlineStr">
        <is>
          <t>VÄSTRA GÖTALANDS LÄN</t>
        </is>
      </c>
      <c r="G82" t="inlineStr">
        <is>
          <t>STRÖMSTAD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46257</v>
      </c>
      <c r="F83" t="inlineStr">
        <is>
          <t>VÄSTRA GÖTALANDS LÄN</t>
        </is>
      </c>
      <c r="G83" t="inlineStr">
        <is>
          <t>STRÖMSTAD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46257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46257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46257</v>
      </c>
      <c r="F86" t="inlineStr">
        <is>
          <t>VÄSTRA GÖTALANDS LÄN</t>
        </is>
      </c>
      <c r="G86" t="inlineStr">
        <is>
          <t>STRÖMSTAD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46257</v>
      </c>
      <c r="F87" t="inlineStr">
        <is>
          <t>VÄSTRA GÖTALANDS LÄN</t>
        </is>
      </c>
      <c r="G87" t="inlineStr">
        <is>
          <t>STRÖMSTAD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46257</v>
      </c>
      <c r="F88" t="inlineStr">
        <is>
          <t>VÄSTRA GÖTALANDS LÄN</t>
        </is>
      </c>
      <c r="G88" t="inlineStr">
        <is>
          <t>STRÖMSTAD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44435</v>
      </c>
      <c r="E89" s="1" t="n">
        <v>46257</v>
      </c>
      <c r="F89" t="inlineStr">
        <is>
          <t>VÄSTRA GÖTALANDS LÄN</t>
        </is>
      </c>
      <c r="G89" t="inlineStr">
        <is>
          <t>STRÖMSTAD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46257</v>
      </c>
      <c r="F90" t="inlineStr">
        <is>
          <t>VÄSTRA GÖTALANDS LÄN</t>
        </is>
      </c>
      <c r="G90" t="inlineStr">
        <is>
          <t>STRÖMSTAD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46257</v>
      </c>
      <c r="F91" t="inlineStr">
        <is>
          <t>VÄSTRA GÖTALANDS LÄN</t>
        </is>
      </c>
      <c r="G91" t="inlineStr">
        <is>
          <t>STRÖMSTAD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46257</v>
      </c>
      <c r="F92" t="inlineStr">
        <is>
          <t>VÄSTRA GÖTALANDS LÄN</t>
        </is>
      </c>
      <c r="G92" t="inlineStr">
        <is>
          <t>STRÖMSTAD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46257</v>
      </c>
      <c r="F93" t="inlineStr">
        <is>
          <t>VÄSTRA GÖTALANDS LÄN</t>
        </is>
      </c>
      <c r="G93" t="inlineStr">
        <is>
          <t>STRÖMSTAD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46257</v>
      </c>
      <c r="F94" t="inlineStr">
        <is>
          <t>VÄSTRA GÖTALANDS LÄN</t>
        </is>
      </c>
      <c r="G94" t="inlineStr">
        <is>
          <t>STRÖMSTAD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46257</v>
      </c>
      <c r="F95" t="inlineStr">
        <is>
          <t>VÄSTRA GÖTALANDS LÄN</t>
        </is>
      </c>
      <c r="G95" t="inlineStr">
        <is>
          <t>STRÖMSTAD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46257</v>
      </c>
      <c r="F96" t="inlineStr">
        <is>
          <t>VÄSTRA GÖTALANDS LÄN</t>
        </is>
      </c>
      <c r="G96" t="inlineStr">
        <is>
          <t>STRÖMSTAD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46257</v>
      </c>
      <c r="F97" t="inlineStr">
        <is>
          <t>VÄSTRA GÖTALANDS LÄN</t>
        </is>
      </c>
      <c r="G97" t="inlineStr">
        <is>
          <t>STRÖMSTAD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46257</v>
      </c>
      <c r="F98" t="inlineStr">
        <is>
          <t>VÄSTRA GÖTALANDS LÄN</t>
        </is>
      </c>
      <c r="G98" t="inlineStr">
        <is>
          <t>STRÖMSTAD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45555</v>
      </c>
      <c r="E99" s="1" t="n">
        <v>46257</v>
      </c>
      <c r="F99" t="inlineStr">
        <is>
          <t>VÄSTRA GÖTALANDS LÄN</t>
        </is>
      </c>
      <c r="G99" t="inlineStr">
        <is>
          <t>STRÖMSTAD</t>
        </is>
      </c>
      <c r="I99" t="n">
        <v>14.5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26277-2025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46257</v>
      </c>
      <c r="F100" t="inlineStr">
        <is>
          <t>VÄSTRA GÖTALANDS LÄN</t>
        </is>
      </c>
      <c r="G100" t="inlineStr">
        <is>
          <t>STRÖMSTAD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44892</v>
      </c>
      <c r="E101" s="1" t="n">
        <v>46257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46257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46257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46257</v>
      </c>
      <c r="F104" t="inlineStr">
        <is>
          <t>VÄSTRA GÖTALANDS LÄN</t>
        </is>
      </c>
      <c r="G104" t="inlineStr">
        <is>
          <t>STRÖMSTAD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45232</v>
      </c>
      <c r="E105" s="1" t="n">
        <v>46257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46257</v>
      </c>
      <c r="F106" t="inlineStr">
        <is>
          <t>VÄSTRA GÖTALANDS LÄN</t>
        </is>
      </c>
      <c r="G106" t="inlineStr">
        <is>
          <t>STRÖMSTAD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46257</v>
      </c>
      <c r="F107" t="inlineStr">
        <is>
          <t>VÄSTRA GÖTALANDS LÄN</t>
        </is>
      </c>
      <c r="G107" t="inlineStr">
        <is>
          <t>STRÖMSTAD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46257</v>
      </c>
      <c r="F108" t="inlineStr">
        <is>
          <t>VÄSTRA GÖTALANDS LÄN</t>
        </is>
      </c>
      <c r="G108" t="inlineStr">
        <is>
          <t>STRÖMSTAD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46257</v>
      </c>
      <c r="F109" t="inlineStr">
        <is>
          <t>VÄSTRA GÖTALANDS LÄN</t>
        </is>
      </c>
      <c r="G109" t="inlineStr">
        <is>
          <t>STRÖMSTAD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45764</v>
      </c>
      <c r="E110" s="1" t="n">
        <v>46257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45126</v>
      </c>
      <c r="E111" s="1" t="n">
        <v>46257</v>
      </c>
      <c r="F111" t="inlineStr">
        <is>
          <t>VÄSTRA GÖTALANDS LÄN</t>
        </is>
      </c>
      <c r="G111" t="inlineStr">
        <is>
          <t>STRÖMSTAD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46257</v>
      </c>
      <c r="F112" t="inlineStr">
        <is>
          <t>VÄSTRA GÖTALANDS LÄN</t>
        </is>
      </c>
      <c r="G112" t="inlineStr">
        <is>
          <t>STRÖMSTAD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46257</v>
      </c>
      <c r="F113" t="inlineStr">
        <is>
          <t>VÄSTRA GÖTALANDS LÄN</t>
        </is>
      </c>
      <c r="G113" t="inlineStr">
        <is>
          <t>STRÖMSTAD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46257</v>
      </c>
      <c r="F114" t="inlineStr">
        <is>
          <t>VÄSTRA GÖTALANDS LÄN</t>
        </is>
      </c>
      <c r="G114" t="inlineStr">
        <is>
          <t>STRÖMSTAD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46257</v>
      </c>
      <c r="F115" t="inlineStr">
        <is>
          <t>VÄSTRA GÖTALANDS LÄN</t>
        </is>
      </c>
      <c r="G115" t="inlineStr">
        <is>
          <t>STRÖMSTAD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46257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46257</v>
      </c>
      <c r="F117" t="inlineStr">
        <is>
          <t>VÄSTRA GÖTALANDS LÄN</t>
        </is>
      </c>
      <c r="G117" t="inlineStr">
        <is>
          <t>STRÖMSTAD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46257</v>
      </c>
      <c r="F118" t="inlineStr">
        <is>
          <t>VÄSTRA GÖTALANDS LÄN</t>
        </is>
      </c>
      <c r="G118" t="inlineStr">
        <is>
          <t>STRÖMSTAD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46257</v>
      </c>
      <c r="F119" t="inlineStr">
        <is>
          <t>VÄSTRA GÖTALANDS LÄN</t>
        </is>
      </c>
      <c r="G119" t="inlineStr">
        <is>
          <t>STRÖMSTAD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46257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46257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46257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45057</v>
      </c>
      <c r="E123" s="1" t="n">
        <v>46257</v>
      </c>
      <c r="F123" t="inlineStr">
        <is>
          <t>VÄSTRA GÖTALANDS LÄN</t>
        </is>
      </c>
      <c r="G123" t="inlineStr">
        <is>
          <t>STRÖMSTAD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46257</v>
      </c>
      <c r="F124" t="inlineStr">
        <is>
          <t>VÄSTRA GÖTALANDS LÄN</t>
        </is>
      </c>
      <c r="G124" t="inlineStr">
        <is>
          <t>STRÖMSTAD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46257</v>
      </c>
      <c r="F125" t="inlineStr">
        <is>
          <t>VÄSTRA GÖTALANDS LÄN</t>
        </is>
      </c>
      <c r="G125" t="inlineStr">
        <is>
          <t>STRÖMSTAD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46257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46257</v>
      </c>
      <c r="F127" t="inlineStr">
        <is>
          <t>VÄSTRA GÖTALANDS LÄN</t>
        </is>
      </c>
      <c r="G127" t="inlineStr">
        <is>
          <t>STRÖMSTAD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46257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46257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46257</v>
      </c>
      <c r="F130" t="inlineStr">
        <is>
          <t>VÄSTRA GÖTALANDS LÄN</t>
        </is>
      </c>
      <c r="G130" t="inlineStr">
        <is>
          <t>STRÖMSTAD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46257</v>
      </c>
      <c r="F131" t="inlineStr">
        <is>
          <t>VÄSTRA GÖTALANDS LÄN</t>
        </is>
      </c>
      <c r="G131" t="inlineStr">
        <is>
          <t>STRÖMSTAD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46257</v>
      </c>
      <c r="F132" t="inlineStr">
        <is>
          <t>VÄSTRA GÖTALANDS LÄN</t>
        </is>
      </c>
      <c r="G132" t="inlineStr">
        <is>
          <t>STRÖMSTAD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45750</v>
      </c>
      <c r="E133" s="1" t="n">
        <v>46257</v>
      </c>
      <c r="F133" t="inlineStr">
        <is>
          <t>VÄSTRA GÖTALANDS LÄN</t>
        </is>
      </c>
      <c r="G133" t="inlineStr">
        <is>
          <t>STRÖMSTAD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46257</v>
      </c>
      <c r="F134" t="inlineStr">
        <is>
          <t>VÄSTRA GÖTALANDS LÄN</t>
        </is>
      </c>
      <c r="G134" t="inlineStr">
        <is>
          <t>STRÖMSTAD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46257</v>
      </c>
      <c r="F135" t="inlineStr">
        <is>
          <t>VÄSTRA GÖTALANDS LÄN</t>
        </is>
      </c>
      <c r="G135" t="inlineStr">
        <is>
          <t>STRÖMSTAD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8047-2024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45351</v>
      </c>
      <c r="E136" s="1" t="n">
        <v>46257</v>
      </c>
      <c r="F136" t="inlineStr">
        <is>
          <t>VÄSTRA GÖTALANDS LÄN</t>
        </is>
      </c>
      <c r="G136" t="inlineStr">
        <is>
          <t>STRÖMSTAD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46257</v>
      </c>
      <c r="F137" t="inlineStr">
        <is>
          <t>VÄSTRA GÖTALANDS LÄN</t>
        </is>
      </c>
      <c r="G137" t="inlineStr">
        <is>
          <t>STRÖMSTAD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46257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46257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46257</v>
      </c>
      <c r="F140" t="inlineStr">
        <is>
          <t>VÄSTRA GÖTALANDS LÄN</t>
        </is>
      </c>
      <c r="G140" t="inlineStr">
        <is>
          <t>STRÖMSTAD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46257</v>
      </c>
      <c r="F141" t="inlineStr">
        <is>
          <t>VÄSTRA GÖTALANDS LÄN</t>
        </is>
      </c>
      <c r="G141" t="inlineStr">
        <is>
          <t>STRÖMSTAD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46257</v>
      </c>
      <c r="F142" t="inlineStr">
        <is>
          <t>VÄSTRA GÖTALANDS LÄN</t>
        </is>
      </c>
      <c r="G142" t="inlineStr">
        <is>
          <t>STRÖMSTAD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46257</v>
      </c>
      <c r="F143" t="inlineStr">
        <is>
          <t>VÄSTRA GÖTALANDS LÄN</t>
        </is>
      </c>
      <c r="G143" t="inlineStr">
        <is>
          <t>STRÖMSTAD</t>
        </is>
      </c>
      <c r="H143" t="inlineStr">
        <is>
          <t>Kommuner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45482</v>
      </c>
      <c r="E144" s="1" t="n">
        <v>46257</v>
      </c>
      <c r="F144" t="inlineStr">
        <is>
          <t>VÄSTRA GÖTALANDS LÄN</t>
        </is>
      </c>
      <c r="G144" t="inlineStr">
        <is>
          <t>STRÖMSTAD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46257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46257</v>
      </c>
      <c r="F146" t="inlineStr">
        <is>
          <t>VÄSTRA GÖTALANDS LÄN</t>
        </is>
      </c>
      <c r="G146" t="inlineStr">
        <is>
          <t>STRÖMSTAD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44525</v>
      </c>
      <c r="E147" s="1" t="n">
        <v>46257</v>
      </c>
      <c r="F147" t="inlineStr">
        <is>
          <t>VÄSTRA GÖTALANDS LÄN</t>
        </is>
      </c>
      <c r="G147" t="inlineStr">
        <is>
          <t>STRÖMSTAD</t>
        </is>
      </c>
      <c r="I147" t="n">
        <v>15.5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46063</v>
      </c>
      <c r="E148" s="1" t="n">
        <v>46257</v>
      </c>
      <c r="F148" t="inlineStr">
        <is>
          <t>VÄSTRA GÖTALANDS LÄN</t>
        </is>
      </c>
      <c r="G148" t="inlineStr">
        <is>
          <t>STRÖMSTAD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46257</v>
      </c>
      <c r="F149" t="inlineStr">
        <is>
          <t>VÄSTRA GÖTALANDS LÄN</t>
        </is>
      </c>
      <c r="G149" t="inlineStr">
        <is>
          <t>STRÖMSTAD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46257</v>
      </c>
      <c r="F150" t="inlineStr">
        <is>
          <t>VÄSTRA GÖTALANDS LÄN</t>
        </is>
      </c>
      <c r="G150" t="inlineStr">
        <is>
          <t>STRÖMSTAD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46257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46257</v>
      </c>
      <c r="F152" t="inlineStr">
        <is>
          <t>VÄSTRA GÖTALANDS LÄN</t>
        </is>
      </c>
      <c r="G152" t="inlineStr">
        <is>
          <t>STRÖMSTAD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46230</v>
      </c>
      <c r="E153" s="1" t="n">
        <v>46257</v>
      </c>
      <c r="F153" t="inlineStr">
        <is>
          <t>VÄSTRA GÖTALANDS LÄN</t>
        </is>
      </c>
      <c r="G153" t="inlineStr">
        <is>
          <t>STRÖMSTAD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46257</v>
      </c>
      <c r="F154" t="inlineStr">
        <is>
          <t>VÄSTRA GÖTALANDS LÄN</t>
        </is>
      </c>
      <c r="G154" t="inlineStr">
        <is>
          <t>STRÖMSTAD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46257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46257</v>
      </c>
      <c r="F156" t="inlineStr">
        <is>
          <t>VÄSTRA GÖTALANDS LÄN</t>
        </is>
      </c>
      <c r="G156" t="inlineStr">
        <is>
          <t>STRÖMSTAD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46257</v>
      </c>
      <c r="F157" t="inlineStr">
        <is>
          <t>VÄSTRA GÖTALANDS LÄN</t>
        </is>
      </c>
      <c r="G157" t="inlineStr">
        <is>
          <t>STRÖMSTAD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46257</v>
      </c>
      <c r="F158" t="inlineStr">
        <is>
          <t>VÄSTRA GÖTALANDS LÄN</t>
        </is>
      </c>
      <c r="G158" t="inlineStr">
        <is>
          <t>STRÖMSTAD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46257</v>
      </c>
      <c r="F159" t="inlineStr">
        <is>
          <t>VÄSTRA GÖTALANDS LÄN</t>
        </is>
      </c>
      <c r="G159" t="inlineStr">
        <is>
          <t>STRÖMSTAD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45318</v>
      </c>
      <c r="E160" s="1" t="n">
        <v>46257</v>
      </c>
      <c r="F160" t="inlineStr">
        <is>
          <t>VÄSTRA GÖTALANDS LÄN</t>
        </is>
      </c>
      <c r="G160" t="inlineStr">
        <is>
          <t>STRÖMSTAD</t>
        </is>
      </c>
      <c r="H160" t="inlineStr">
        <is>
          <t>Kommuner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46257</v>
      </c>
      <c r="F161" t="inlineStr">
        <is>
          <t>VÄSTRA GÖTALANDS LÄN</t>
        </is>
      </c>
      <c r="G161" t="inlineStr">
        <is>
          <t>STRÖMSTAD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46257</v>
      </c>
      <c r="F162" t="inlineStr">
        <is>
          <t>VÄSTRA GÖTALANDS LÄN</t>
        </is>
      </c>
      <c r="G162" t="inlineStr">
        <is>
          <t>STRÖMSTAD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46257</v>
      </c>
      <c r="F163" t="inlineStr">
        <is>
          <t>VÄSTRA GÖTALANDS LÄN</t>
        </is>
      </c>
      <c r="G163" t="inlineStr">
        <is>
          <t>STRÖMSTAD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46156</v>
      </c>
      <c r="E164" s="1" t="n">
        <v>46257</v>
      </c>
      <c r="F164" t="inlineStr">
        <is>
          <t>VÄSTRA GÖTALANDS LÄN</t>
        </is>
      </c>
      <c r="G164" t="inlineStr">
        <is>
          <t>STRÖMSTAD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46257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46257</v>
      </c>
      <c r="F166" t="inlineStr">
        <is>
          <t>VÄSTRA GÖTALANDS LÄN</t>
        </is>
      </c>
      <c r="G166" t="inlineStr">
        <is>
          <t>STRÖMSTAD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46257</v>
      </c>
      <c r="F167" t="inlineStr">
        <is>
          <t>VÄSTRA GÖTALANDS LÄN</t>
        </is>
      </c>
      <c r="G167" t="inlineStr">
        <is>
          <t>STRÖMSTAD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46103</v>
      </c>
      <c r="E168" s="1" t="n">
        <v>46257</v>
      </c>
      <c r="F168" t="inlineStr">
        <is>
          <t>VÄSTRA GÖTALANDS LÄN</t>
        </is>
      </c>
      <c r="G168" t="inlineStr">
        <is>
          <t>STRÖMSTAD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46204</v>
      </c>
      <c r="E169" s="1" t="n">
        <v>46257</v>
      </c>
      <c r="F169" t="inlineStr">
        <is>
          <t>VÄSTRA GÖTALANDS LÄN</t>
        </is>
      </c>
      <c r="G169" t="inlineStr">
        <is>
          <t>STRÖMSTAD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46257</v>
      </c>
      <c r="F170" t="inlineStr">
        <is>
          <t>VÄSTRA GÖTALANDS LÄN</t>
        </is>
      </c>
      <c r="G170" t="inlineStr">
        <is>
          <t>STRÖMSTAD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46257</v>
      </c>
      <c r="F171" t="inlineStr">
        <is>
          <t>VÄSTRA GÖTALANDS LÄN</t>
        </is>
      </c>
      <c r="G171" t="inlineStr">
        <is>
          <t>STRÖMSTAD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46257</v>
      </c>
      <c r="F172" t="inlineStr">
        <is>
          <t>VÄSTRA GÖTALANDS LÄN</t>
        </is>
      </c>
      <c r="G172" t="inlineStr">
        <is>
          <t>STRÖMSTAD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46257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45547</v>
      </c>
      <c r="E174" s="1" t="n">
        <v>46257</v>
      </c>
      <c r="F174" t="inlineStr">
        <is>
          <t>VÄSTRA GÖTALANDS LÄN</t>
        </is>
      </c>
      <c r="G174" t="inlineStr">
        <is>
          <t>STRÖMSTAD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46257</v>
      </c>
      <c r="F175" t="inlineStr">
        <is>
          <t>VÄSTRA GÖTALANDS LÄN</t>
        </is>
      </c>
      <c r="G175" t="inlineStr">
        <is>
          <t>STRÖMSTAD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46257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Kyrkan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46257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45085</v>
      </c>
      <c r="E178" s="1" t="n">
        <v>46257</v>
      </c>
      <c r="F178" t="inlineStr">
        <is>
          <t>VÄSTRA GÖTALANDS LÄN</t>
        </is>
      </c>
      <c r="G178" t="inlineStr">
        <is>
          <t>STRÖMSTAD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45301</v>
      </c>
      <c r="E179" s="1" t="n">
        <v>46257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46257</v>
      </c>
      <c r="F180" t="inlineStr">
        <is>
          <t>VÄSTRA GÖTALANDS LÄN</t>
        </is>
      </c>
      <c r="G180" t="inlineStr">
        <is>
          <t>STRÖMSTAD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46257</v>
      </c>
      <c r="F181" t="inlineStr">
        <is>
          <t>VÄSTRA GÖTALANDS LÄN</t>
        </is>
      </c>
      <c r="G181" t="inlineStr">
        <is>
          <t>STRÖMSTAD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13325-2022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46257</v>
      </c>
      <c r="F182" t="inlineStr">
        <is>
          <t>VÄSTRA GÖTALANDS LÄN</t>
        </is>
      </c>
      <c r="G182" t="inlineStr">
        <is>
          <t>STRÖMSTAD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46257</v>
      </c>
      <c r="F183" t="inlineStr">
        <is>
          <t>VÄSTRA GÖTALANDS LÄN</t>
        </is>
      </c>
      <c r="G183" t="inlineStr">
        <is>
          <t>STRÖMSTAD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46257</v>
      </c>
      <c r="F184" t="inlineStr">
        <is>
          <t>VÄSTRA GÖTALANDS LÄN</t>
        </is>
      </c>
      <c r="G184" t="inlineStr">
        <is>
          <t>STRÖMSTAD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46257</v>
      </c>
      <c r="F185" t="inlineStr">
        <is>
          <t>VÄSTRA GÖTALANDS LÄN</t>
        </is>
      </c>
      <c r="G185" t="inlineStr">
        <is>
          <t>STRÖMSTAD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46257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44886</v>
      </c>
      <c r="E187" s="1" t="n">
        <v>46257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46257</v>
      </c>
      <c r="F188" t="inlineStr">
        <is>
          <t>VÄSTRA GÖTALANDS LÄN</t>
        </is>
      </c>
      <c r="G188" t="inlineStr">
        <is>
          <t>STRÖMSTAD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46257</v>
      </c>
      <c r="F189" t="inlineStr">
        <is>
          <t>VÄSTRA GÖTALANDS LÄN</t>
        </is>
      </c>
      <c r="G189" t="inlineStr">
        <is>
          <t>STRÖMSTAD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46257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46257</v>
      </c>
      <c r="F191" t="inlineStr">
        <is>
          <t>VÄSTRA GÖTALANDS LÄN</t>
        </is>
      </c>
      <c r="G191" t="inlineStr">
        <is>
          <t>STRÖMSTAD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46257</v>
      </c>
      <c r="F192" t="inlineStr">
        <is>
          <t>VÄSTRA GÖTALANDS LÄN</t>
        </is>
      </c>
      <c r="G192" t="inlineStr">
        <is>
          <t>STRÖMSTAD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44879</v>
      </c>
      <c r="E193" s="1" t="n">
        <v>46257</v>
      </c>
      <c r="F193" t="inlineStr">
        <is>
          <t>VÄSTRA GÖTALANDS LÄN</t>
        </is>
      </c>
      <c r="G193" t="inlineStr">
        <is>
          <t>STRÖMSTAD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46257</v>
      </c>
      <c r="F194" t="inlineStr">
        <is>
          <t>VÄSTRA GÖTALANDS LÄN</t>
        </is>
      </c>
      <c r="G194" t="inlineStr">
        <is>
          <t>STRÖMSTAD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46257</v>
      </c>
      <c r="F195" t="inlineStr">
        <is>
          <t>VÄSTRA GÖTALANDS LÄN</t>
        </is>
      </c>
      <c r="G195" t="inlineStr">
        <is>
          <t>STRÖMSTAD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46257</v>
      </c>
      <c r="F196" t="inlineStr">
        <is>
          <t>VÄSTRA GÖTALANDS LÄN</t>
        </is>
      </c>
      <c r="G196" t="inlineStr">
        <is>
          <t>STRÖMSTAD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46257</v>
      </c>
      <c r="F197" t="inlineStr">
        <is>
          <t>VÄSTRA GÖTALANDS LÄN</t>
        </is>
      </c>
      <c r="G197" t="inlineStr">
        <is>
          <t>STRÖMSTAD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46257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46257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46161</v>
      </c>
      <c r="E200" s="1" t="n">
        <v>46257</v>
      </c>
      <c r="F200" t="inlineStr">
        <is>
          <t>VÄSTRA GÖTALANDS LÄN</t>
        </is>
      </c>
      <c r="G200" t="inlineStr">
        <is>
          <t>STRÖMSTAD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46257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46257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46257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46257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46257</v>
      </c>
      <c r="F205" t="inlineStr">
        <is>
          <t>VÄSTRA GÖTALANDS LÄN</t>
        </is>
      </c>
      <c r="G205" t="inlineStr">
        <is>
          <t>STRÖMSTAD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46257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46257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46257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2026-08-23T01:52:22Z</dcterms:created>
  <dcterms:modified xmlns:dcterms="http://purl.org/dc/terms/" xmlns:xsi="http://www.w3.org/2001/XMLSchema-instance" xsi:type="dcterms:W3CDTF">2026-08-23T01:52:22Z</dcterms:modified>
</cp:coreProperties>
</file>