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46261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46261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4173-2022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44588</v>
      </c>
      <c r="E9" s="1" t="n">
        <v>46261</v>
      </c>
      <c r="F9" t="inlineStr">
        <is>
          <t>VÄSTRA GÖTALANDS LÄN</t>
        </is>
      </c>
      <c r="G9" t="inlineStr">
        <is>
          <t>STRÖMSTAD</t>
        </is>
      </c>
      <c r="I9" t="n">
        <v>2.8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Blåmossa
Spillkråka
Revlummer</t>
        </is>
      </c>
      <c r="W9">
        <f>HYPERLINK("https://klasma.github.io/Logging_1486/artfynd/A 4173-2022 artfynd.xlsx", "A 4173-2022")</f>
        <v/>
      </c>
      <c r="X9">
        <f>HYPERLINK("https://klasma.github.io/Logging_1486/kartor/A 4173-2022 karta.png", "A 4173-2022")</f>
        <v/>
      </c>
      <c r="Y9">
        <f>HYPERLINK("https://klasma.github.io/Logging_1486/kartor_geotiff/A 4173-2022 georefererad karta.tif", "A 4173-2022")</f>
        <v/>
      </c>
      <c r="AA9">
        <f>HYPERLINK("https://klasma.github.io/Logging_1486/klagomål/A 4173-2022 FSC-klagomål.docx", "A 4173-2022")</f>
        <v/>
      </c>
      <c r="AB9">
        <f>HYPERLINK("https://klasma.github.io/Logging_1486/klagomålsmail/A 4173-2022 FSC-klagomål mail.docx", "A 4173-2022")</f>
        <v/>
      </c>
      <c r="AC9">
        <f>HYPERLINK("https://klasma.github.io/Logging_1486/tillsyn/A 4173-2022 tillsynsbegäran.docx", "A 4173-2022")</f>
        <v/>
      </c>
      <c r="AD9">
        <f>HYPERLINK("https://klasma.github.io/Logging_1486/tillsynsmail/A 4173-2022 tillsynsbegäran mail.docx", "A 4173-2022")</f>
        <v/>
      </c>
      <c r="AE9">
        <f>HYPERLINK("https://klasma.github.io/Logging_1486/fåglar/A 4173-2022 prioriterade fågelarter.docx", "A 4173-2022")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46261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46261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46261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46261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46261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46261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10764-2024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46261</v>
      </c>
      <c r="F18" t="inlineStr">
        <is>
          <t>VÄSTRA GÖTALANDS LÄN</t>
        </is>
      </c>
      <c r="G18" t="inlineStr">
        <is>
          <t>STRÖMSTAD</t>
        </is>
      </c>
      <c r="I18" t="n">
        <v>8.300000000000001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10764-2024 artfynd.xlsx", "A 10764-2024")</f>
        <v/>
      </c>
      <c r="X18">
        <f>HYPERLINK("https://klasma.github.io/Logging_1486/kartor/A 10764-2024 karta.png", "A 10764-2024")</f>
        <v/>
      </c>
      <c r="Y18">
        <f>HYPERLINK("https://klasma.github.io/Logging_1486/kartor_geotiff/A 10764-2024 georefererad karta.tif", "A 10764-2024")</f>
        <v/>
      </c>
      <c r="AA18">
        <f>HYPERLINK("https://klasma.github.io/Logging_1486/klagomål/A 10764-2024 FSC-klagomål.docx", "A 10764-2024")</f>
        <v/>
      </c>
      <c r="AB18">
        <f>HYPERLINK("https://klasma.github.io/Logging_1486/klagomålsmail/A 10764-2024 FSC-klagomål mail.docx", "A 10764-2024")</f>
        <v/>
      </c>
      <c r="AC18">
        <f>HYPERLINK("https://klasma.github.io/Logging_1486/tillsyn/A 10764-2024 tillsynsbegäran.docx", "A 10764-2024")</f>
        <v/>
      </c>
      <c r="AD18">
        <f>HYPERLINK("https://klasma.github.io/Logging_1486/tillsynsmail/A 10764-2024 tillsynsbegäran mail.docx", "A 10764-2024")</f>
        <v/>
      </c>
    </row>
    <row r="19" ht="15" customHeight="1">
      <c r="A19" t="inlineStr">
        <is>
          <t>A 24514-2024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45458</v>
      </c>
      <c r="E19" s="1" t="n">
        <v>46261</v>
      </c>
      <c r="F19" t="inlineStr">
        <is>
          <t>VÄSTRA GÖTALANDS LÄN</t>
        </is>
      </c>
      <c r="G19" t="inlineStr">
        <is>
          <t>STRÖMSTAD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Mattlummer</t>
        </is>
      </c>
      <c r="W19">
        <f>HYPERLINK("https://klasma.github.io/Logging_1486/artfynd/A 24514-2024 artfynd.xlsx", "A 24514-2024")</f>
        <v/>
      </c>
      <c r="X19">
        <f>HYPERLINK("https://klasma.github.io/Logging_1486/kartor/A 24514-2024 karta.png", "A 24514-2024")</f>
        <v/>
      </c>
      <c r="Y19">
        <f>HYPERLINK("https://klasma.github.io/Logging_1486/kartor_geotiff/A 24514-2024 georefererad karta.tif", "A 24514-2024")</f>
        <v/>
      </c>
      <c r="AA19">
        <f>HYPERLINK("https://klasma.github.io/Logging_1486/klagomål/A 24514-2024 FSC-klagomål.docx", "A 24514-2024")</f>
        <v/>
      </c>
      <c r="AB19">
        <f>HYPERLINK("https://klasma.github.io/Logging_1486/klagomålsmail/A 24514-2024 FSC-klagomål mail.docx", "A 24514-2024")</f>
        <v/>
      </c>
      <c r="AC19">
        <f>HYPERLINK("https://klasma.github.io/Logging_1486/tillsyn/A 24514-2024 tillsynsbegäran.docx", "A 24514-2024")</f>
        <v/>
      </c>
      <c r="AD19">
        <f>HYPERLINK("https://klasma.github.io/Logging_1486/tillsynsmail/A 24514-2024 tillsynsbegäran mail.docx", "A 24514-2024")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46261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46261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46261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46261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46261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46261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46261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46261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46261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46261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46261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46261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46261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46261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46261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46261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46261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46261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46261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46261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46261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46261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46261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46261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46261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46261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46261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46261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46261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46261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46261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46261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46261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46261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46261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46261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46261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46261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44848</v>
      </c>
      <c r="E58" s="1" t="n">
        <v>46261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46261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46261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45739</v>
      </c>
      <c r="E61" s="1" t="n">
        <v>46261</v>
      </c>
      <c r="F61" t="inlineStr">
        <is>
          <t>VÄSTRA GÖTALANDS LÄN</t>
        </is>
      </c>
      <c r="G61" t="inlineStr">
        <is>
          <t>STRÖMSTAD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46261</v>
      </c>
      <c r="F62" t="inlineStr">
        <is>
          <t>VÄSTRA GÖTALANDS LÄN</t>
        </is>
      </c>
      <c r="G62" t="inlineStr">
        <is>
          <t>STRÖMSTAD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46261</v>
      </c>
      <c r="F63" t="inlineStr">
        <is>
          <t>VÄSTRA GÖTALANDS LÄN</t>
        </is>
      </c>
      <c r="G63" t="inlineStr">
        <is>
          <t>STRÖMSTAD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46261</v>
      </c>
      <c r="F64" t="inlineStr">
        <is>
          <t>VÄSTRA GÖTALANDS LÄN</t>
        </is>
      </c>
      <c r="G64" t="inlineStr">
        <is>
          <t>STRÖMSTAD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46035</v>
      </c>
      <c r="E65" s="1" t="n">
        <v>46261</v>
      </c>
      <c r="F65" t="inlineStr">
        <is>
          <t>VÄSTRA GÖTALANDS LÄN</t>
        </is>
      </c>
      <c r="G65" t="inlineStr">
        <is>
          <t>STRÖMSTAD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46036</v>
      </c>
      <c r="E66" s="1" t="n">
        <v>46261</v>
      </c>
      <c r="F66" t="inlineStr">
        <is>
          <t>VÄSTRA GÖTALANDS LÄN</t>
        </is>
      </c>
      <c r="G66" t="inlineStr">
        <is>
          <t>STRÖMSTAD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46036</v>
      </c>
      <c r="E67" s="1" t="n">
        <v>46261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46261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46261</v>
      </c>
      <c r="F69" t="inlineStr">
        <is>
          <t>VÄSTRA GÖTALANDS LÄN</t>
        </is>
      </c>
      <c r="G69" t="inlineStr">
        <is>
          <t>STRÖMSTAD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44649</v>
      </c>
      <c r="E70" s="1" t="n">
        <v>46261</v>
      </c>
      <c r="F70" t="inlineStr">
        <is>
          <t>VÄSTRA GÖTALANDS LÄN</t>
        </is>
      </c>
      <c r="G70" t="inlineStr">
        <is>
          <t>STRÖMSTAD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46261</v>
      </c>
      <c r="F71" t="inlineStr">
        <is>
          <t>VÄSTRA GÖTALANDS LÄN</t>
        </is>
      </c>
      <c r="G71" t="inlineStr">
        <is>
          <t>STRÖMSTAD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45018</v>
      </c>
      <c r="E72" s="1" t="n">
        <v>46261</v>
      </c>
      <c r="F72" t="inlineStr">
        <is>
          <t>VÄSTRA GÖTALANDS LÄN</t>
        </is>
      </c>
      <c r="G72" t="inlineStr">
        <is>
          <t>STRÖMSTAD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46055</v>
      </c>
      <c r="E73" s="1" t="n">
        <v>46261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46261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Kommuner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46261</v>
      </c>
      <c r="F75" t="inlineStr">
        <is>
          <t>VÄSTRA GÖTALANDS LÄN</t>
        </is>
      </c>
      <c r="G75" t="inlineStr">
        <is>
          <t>STRÖMSTAD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46063</v>
      </c>
      <c r="E76" s="1" t="n">
        <v>46261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46063</v>
      </c>
      <c r="E77" s="1" t="n">
        <v>46261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46261</v>
      </c>
      <c r="F78" t="inlineStr">
        <is>
          <t>VÄSTRA GÖTALANDS LÄN</t>
        </is>
      </c>
      <c r="G78" t="inlineStr">
        <is>
          <t>STRÖMSTAD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46261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10850-2026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46261</v>
      </c>
      <c r="F80" t="inlineStr">
        <is>
          <t>VÄSTRA GÖTALANDS LÄN</t>
        </is>
      </c>
      <c r="G80" t="inlineStr">
        <is>
          <t>STRÖMSTAD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44408-2021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44435</v>
      </c>
      <c r="E81" s="1" t="n">
        <v>46261</v>
      </c>
      <c r="F81" t="inlineStr">
        <is>
          <t>VÄSTRA GÖTALANDS LÄN</t>
        </is>
      </c>
      <c r="G81" t="inlineStr">
        <is>
          <t>STRÖMSTAD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46261</v>
      </c>
      <c r="F82" t="inlineStr">
        <is>
          <t>VÄSTRA GÖTALANDS LÄN</t>
        </is>
      </c>
      <c r="G82" t="inlineStr">
        <is>
          <t>STRÖMSTAD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46261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46261</v>
      </c>
      <c r="F84" t="inlineStr">
        <is>
          <t>VÄSTRA GÖTALANDS LÄN</t>
        </is>
      </c>
      <c r="G84" t="inlineStr">
        <is>
          <t>STRÖMSTAD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46261</v>
      </c>
      <c r="F85" t="inlineStr">
        <is>
          <t>VÄSTRA GÖTALANDS LÄN</t>
        </is>
      </c>
      <c r="G85" t="inlineStr">
        <is>
          <t>STRÖMSTAD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46261</v>
      </c>
      <c r="F86" t="inlineStr">
        <is>
          <t>VÄSTRA GÖTALANDS LÄN</t>
        </is>
      </c>
      <c r="G86" t="inlineStr">
        <is>
          <t>STRÖMSTAD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29327-2024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46261</v>
      </c>
      <c r="F87" t="inlineStr">
        <is>
          <t>VÄSTRA GÖTALANDS LÄN</t>
        </is>
      </c>
      <c r="G87" t="inlineStr">
        <is>
          <t>STRÖMSTAD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46261</v>
      </c>
      <c r="F88" t="inlineStr">
        <is>
          <t>VÄSTRA GÖTALANDS LÄN</t>
        </is>
      </c>
      <c r="G88" t="inlineStr">
        <is>
          <t>STRÖMSTAD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46261</v>
      </c>
      <c r="F89" t="inlineStr">
        <is>
          <t>VÄSTRA GÖTALANDS LÄN</t>
        </is>
      </c>
      <c r="G89" t="inlineStr">
        <is>
          <t>STRÖMSTAD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46261</v>
      </c>
      <c r="F90" t="inlineStr">
        <is>
          <t>VÄSTRA GÖTALANDS LÄN</t>
        </is>
      </c>
      <c r="G90" t="inlineStr">
        <is>
          <t>STRÖMSTAD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46261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46261</v>
      </c>
      <c r="F92" t="inlineStr">
        <is>
          <t>VÄSTRA GÖTALANDS LÄN</t>
        </is>
      </c>
      <c r="G92" t="inlineStr">
        <is>
          <t>STRÖMSTAD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46261</v>
      </c>
      <c r="F93" t="inlineStr">
        <is>
          <t>VÄSTRA GÖTALANDS LÄN</t>
        </is>
      </c>
      <c r="G93" t="inlineStr">
        <is>
          <t>STRÖMSTAD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46261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Övriga Aktiebolag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46261</v>
      </c>
      <c r="F95" t="inlineStr">
        <is>
          <t>VÄSTRA GÖTALANDS LÄN</t>
        </is>
      </c>
      <c r="G95" t="inlineStr">
        <is>
          <t>STRÖMSTAD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46261</v>
      </c>
      <c r="F96" t="inlineStr">
        <is>
          <t>VÄSTRA GÖTALANDS LÄN</t>
        </is>
      </c>
      <c r="G96" t="inlineStr">
        <is>
          <t>STRÖMSTAD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46261</v>
      </c>
      <c r="F97" t="inlineStr">
        <is>
          <t>VÄSTRA GÖTALANDS LÄN</t>
        </is>
      </c>
      <c r="G97" t="inlineStr">
        <is>
          <t>STRÖMSTAD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46261</v>
      </c>
      <c r="F98" t="inlineStr">
        <is>
          <t>VÄSTRA GÖTALANDS LÄN</t>
        </is>
      </c>
      <c r="G98" t="inlineStr">
        <is>
          <t>STRÖMSTAD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46261</v>
      </c>
      <c r="F99" t="inlineStr">
        <is>
          <t>VÄSTRA GÖTALANDS LÄN</t>
        </is>
      </c>
      <c r="G99" t="inlineStr">
        <is>
          <t>STRÖMSTAD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46261</v>
      </c>
      <c r="F100" t="inlineStr">
        <is>
          <t>VÄSTRA GÖTALANDS LÄN</t>
        </is>
      </c>
      <c r="G100" t="inlineStr">
        <is>
          <t>STRÖMSTAD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46103</v>
      </c>
      <c r="E101" s="1" t="n">
        <v>46261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46261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46261</v>
      </c>
      <c r="F103" t="inlineStr">
        <is>
          <t>VÄSTRA GÖTALANDS LÄN</t>
        </is>
      </c>
      <c r="G103" t="inlineStr">
        <is>
          <t>STRÖMSTAD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46261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46261</v>
      </c>
      <c r="F105" t="inlineStr">
        <is>
          <t>VÄSTRA GÖTALANDS LÄN</t>
        </is>
      </c>
      <c r="G105" t="inlineStr">
        <is>
          <t>STRÖMSTAD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45126</v>
      </c>
      <c r="E106" s="1" t="n">
        <v>46261</v>
      </c>
      <c r="F106" t="inlineStr">
        <is>
          <t>VÄSTRA GÖTALANDS LÄN</t>
        </is>
      </c>
      <c r="G106" t="inlineStr">
        <is>
          <t>STRÖMSTAD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45126</v>
      </c>
      <c r="E107" s="1" t="n">
        <v>46261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46261</v>
      </c>
      <c r="F108" t="inlineStr">
        <is>
          <t>VÄSTRA GÖTALANDS LÄN</t>
        </is>
      </c>
      <c r="G108" t="inlineStr">
        <is>
          <t>STRÖMSTAD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46261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46261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46261</v>
      </c>
      <c r="F111" t="inlineStr">
        <is>
          <t>VÄSTRA GÖTALANDS LÄN</t>
        </is>
      </c>
      <c r="G111" t="inlineStr">
        <is>
          <t>STRÖMSTAD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46003</v>
      </c>
      <c r="E112" s="1" t="n">
        <v>46261</v>
      </c>
      <c r="F112" t="inlineStr">
        <is>
          <t>VÄSTRA GÖTALANDS LÄN</t>
        </is>
      </c>
      <c r="G112" t="inlineStr">
        <is>
          <t>STRÖMSTAD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46261</v>
      </c>
      <c r="F113" t="inlineStr">
        <is>
          <t>VÄSTRA GÖTALANDS LÄN</t>
        </is>
      </c>
      <c r="G113" t="inlineStr">
        <is>
          <t>STRÖMSTAD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45876</v>
      </c>
      <c r="E114" s="1" t="n">
        <v>46261</v>
      </c>
      <c r="F114" t="inlineStr">
        <is>
          <t>VÄSTRA GÖTALANDS LÄN</t>
        </is>
      </c>
      <c r="G114" t="inlineStr">
        <is>
          <t>STRÖMSTAD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46261</v>
      </c>
      <c r="F115" t="inlineStr">
        <is>
          <t>VÄSTRA GÖTALANDS LÄN</t>
        </is>
      </c>
      <c r="G115" t="inlineStr">
        <is>
          <t>STRÖMSTAD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21355-2026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46142</v>
      </c>
      <c r="E116" s="1" t="n">
        <v>46261</v>
      </c>
      <c r="F116" t="inlineStr">
        <is>
          <t>VÄSTRA GÖTALANDS LÄN</t>
        </is>
      </c>
      <c r="G116" t="inlineStr">
        <is>
          <t>STRÖMSTAD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45578</v>
      </c>
      <c r="E117" s="1" t="n">
        <v>46261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46261</v>
      </c>
      <c r="F118" t="inlineStr">
        <is>
          <t>VÄSTRA GÖTALANDS LÄN</t>
        </is>
      </c>
      <c r="G118" t="inlineStr">
        <is>
          <t>STRÖMSTAD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46261</v>
      </c>
      <c r="F119" t="inlineStr">
        <is>
          <t>VÄSTRA GÖTALANDS LÄN</t>
        </is>
      </c>
      <c r="G119" t="inlineStr">
        <is>
          <t>STRÖMSTAD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46261</v>
      </c>
      <c r="F120" t="inlineStr">
        <is>
          <t>VÄSTRA GÖTALANDS LÄN</t>
        </is>
      </c>
      <c r="G120" t="inlineStr">
        <is>
          <t>STRÖMSTAD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46261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46261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46261</v>
      </c>
      <c r="F123" t="inlineStr">
        <is>
          <t>VÄSTRA GÖTALANDS LÄN</t>
        </is>
      </c>
      <c r="G123" t="inlineStr">
        <is>
          <t>STRÖMSTAD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46261</v>
      </c>
      <c r="F124" t="inlineStr">
        <is>
          <t>VÄSTRA GÖTALANDS LÄN</t>
        </is>
      </c>
      <c r="G124" t="inlineStr">
        <is>
          <t>STRÖMSTAD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46261</v>
      </c>
      <c r="F125" t="inlineStr">
        <is>
          <t>VÄSTRA GÖTALANDS LÄN</t>
        </is>
      </c>
      <c r="G125" t="inlineStr">
        <is>
          <t>STRÖMSTAD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46261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46261</v>
      </c>
      <c r="F127" t="inlineStr">
        <is>
          <t>VÄSTRA GÖTALANDS LÄN</t>
        </is>
      </c>
      <c r="G127" t="inlineStr">
        <is>
          <t>STRÖMSTAD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46261</v>
      </c>
      <c r="F128" t="inlineStr">
        <is>
          <t>VÄSTRA GÖTALANDS LÄN</t>
        </is>
      </c>
      <c r="G128" t="inlineStr">
        <is>
          <t>STRÖMSTAD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46261</v>
      </c>
      <c r="F129" t="inlineStr">
        <is>
          <t>VÄSTRA GÖTALANDS LÄN</t>
        </is>
      </c>
      <c r="G129" t="inlineStr">
        <is>
          <t>STRÖMSTAD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46261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45033</v>
      </c>
      <c r="E131" s="1" t="n">
        <v>46261</v>
      </c>
      <c r="F131" t="inlineStr">
        <is>
          <t>VÄSTRA GÖTALANDS LÄN</t>
        </is>
      </c>
      <c r="G131" t="inlineStr">
        <is>
          <t>STRÖMSTAD</t>
        </is>
      </c>
      <c r="H131" t="inlineStr">
        <is>
          <t>Kommuner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46261</v>
      </c>
      <c r="F132" t="inlineStr">
        <is>
          <t>VÄSTRA GÖTALANDS LÄN</t>
        </is>
      </c>
      <c r="G132" t="inlineStr">
        <is>
          <t>STRÖMSTAD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46261</v>
      </c>
      <c r="F133" t="inlineStr">
        <is>
          <t>VÄSTRA GÖTALANDS LÄN</t>
        </is>
      </c>
      <c r="G133" t="inlineStr">
        <is>
          <t>STRÖMSTAD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46182</v>
      </c>
      <c r="E134" s="1" t="n">
        <v>46261</v>
      </c>
      <c r="F134" t="inlineStr">
        <is>
          <t>VÄSTRA GÖTALANDS LÄN</t>
        </is>
      </c>
      <c r="G134" t="inlineStr">
        <is>
          <t>STRÖMSTAD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45483</v>
      </c>
      <c r="E135" s="1" t="n">
        <v>46261</v>
      </c>
      <c r="F135" t="inlineStr">
        <is>
          <t>VÄSTRA GÖTALANDS LÄN</t>
        </is>
      </c>
      <c r="G135" t="inlineStr">
        <is>
          <t>STRÖMSTAD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46261</v>
      </c>
      <c r="F136" t="inlineStr">
        <is>
          <t>VÄSTRA GÖTALANDS LÄN</t>
        </is>
      </c>
      <c r="G136" t="inlineStr">
        <is>
          <t>STRÖMSTAD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46261</v>
      </c>
      <c r="F137" t="inlineStr">
        <is>
          <t>VÄSTRA GÖTALANDS LÄN</t>
        </is>
      </c>
      <c r="G137" t="inlineStr">
        <is>
          <t>STRÖMSTAD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45057</v>
      </c>
      <c r="E138" s="1" t="n">
        <v>46261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19134-2025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45764</v>
      </c>
      <c r="E139" s="1" t="n">
        <v>46261</v>
      </c>
      <c r="F139" t="inlineStr">
        <is>
          <t>VÄSTRA GÖTALANDS LÄN</t>
        </is>
      </c>
      <c r="G139" t="inlineStr">
        <is>
          <t>STRÖMSTAD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46230</v>
      </c>
      <c r="E140" s="1" t="n">
        <v>46261</v>
      </c>
      <c r="F140" t="inlineStr">
        <is>
          <t>VÄSTRA GÖTALANDS LÄN</t>
        </is>
      </c>
      <c r="G140" t="inlineStr">
        <is>
          <t>STRÖMSTAD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50401-2021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44459</v>
      </c>
      <c r="E141" s="1" t="n">
        <v>46261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46261</v>
      </c>
      <c r="F142" t="inlineStr">
        <is>
          <t>VÄSTRA GÖTALANDS LÄN</t>
        </is>
      </c>
      <c r="G142" t="inlineStr">
        <is>
          <t>STRÖMSTAD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45071</v>
      </c>
      <c r="E143" s="1" t="n">
        <v>46261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46261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46196</v>
      </c>
      <c r="E145" s="1" t="n">
        <v>46261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46156</v>
      </c>
      <c r="E146" s="1" t="n">
        <v>46261</v>
      </c>
      <c r="F146" t="inlineStr">
        <is>
          <t>VÄSTRA GÖTALANDS LÄN</t>
        </is>
      </c>
      <c r="G146" t="inlineStr">
        <is>
          <t>STRÖMSTAD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46261</v>
      </c>
      <c r="F147" t="inlineStr">
        <is>
          <t>VÄSTRA GÖTALANDS LÄN</t>
        </is>
      </c>
      <c r="G147" t="inlineStr">
        <is>
          <t>STRÖMSTAD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45301</v>
      </c>
      <c r="E148" s="1" t="n">
        <v>46261</v>
      </c>
      <c r="F148" t="inlineStr">
        <is>
          <t>VÄSTRA GÖTALANDS LÄN</t>
        </is>
      </c>
      <c r="G148" t="inlineStr">
        <is>
          <t>STRÖMSTAD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46261</v>
      </c>
      <c r="F149" t="inlineStr">
        <is>
          <t>VÄSTRA GÖTALANDS LÄN</t>
        </is>
      </c>
      <c r="G149" t="inlineStr">
        <is>
          <t>STRÖMSTAD</t>
        </is>
      </c>
      <c r="H149" t="inlineStr">
        <is>
          <t>Kommuner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46261</v>
      </c>
      <c r="F150" t="inlineStr">
        <is>
          <t>VÄSTRA GÖTALANDS LÄN</t>
        </is>
      </c>
      <c r="G150" t="inlineStr">
        <is>
          <t>STRÖMSTAD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46261</v>
      </c>
      <c r="F151" t="inlineStr">
        <is>
          <t>VÄSTRA GÖTALANDS LÄN</t>
        </is>
      </c>
      <c r="G151" t="inlineStr">
        <is>
          <t>STRÖMSTAD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46204</v>
      </c>
      <c r="E152" s="1" t="n">
        <v>46261</v>
      </c>
      <c r="F152" t="inlineStr">
        <is>
          <t>VÄSTRA GÖTALANDS LÄN</t>
        </is>
      </c>
      <c r="G152" t="inlineStr">
        <is>
          <t>STRÖMSTAD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46261</v>
      </c>
      <c r="F153" t="inlineStr">
        <is>
          <t>VÄSTRA GÖTALANDS LÄN</t>
        </is>
      </c>
      <c r="G153" t="inlineStr">
        <is>
          <t>STRÖMSTAD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56130-2022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44886</v>
      </c>
      <c r="E154" s="1" t="n">
        <v>46261</v>
      </c>
      <c r="F154" t="inlineStr">
        <is>
          <t>VÄSTRA GÖTALANDS LÄN</t>
        </is>
      </c>
      <c r="G154" t="inlineStr">
        <is>
          <t>STRÖMSTAD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46261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46261</v>
      </c>
      <c r="F156" t="inlineStr">
        <is>
          <t>VÄSTRA GÖTALANDS LÄN</t>
        </is>
      </c>
      <c r="G156" t="inlineStr">
        <is>
          <t>STRÖMSTAD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46261</v>
      </c>
      <c r="F157" t="inlineStr">
        <is>
          <t>VÄSTRA GÖTALANDS LÄN</t>
        </is>
      </c>
      <c r="G157" t="inlineStr">
        <is>
          <t>STRÖMSTAD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46261</v>
      </c>
      <c r="F158" t="inlineStr">
        <is>
          <t>VÄSTRA GÖTALANDS LÄN</t>
        </is>
      </c>
      <c r="G158" t="inlineStr">
        <is>
          <t>STRÖMSTAD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44603</v>
      </c>
      <c r="E159" s="1" t="n">
        <v>46261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35205-2026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46261</v>
      </c>
      <c r="F160" t="inlineStr">
        <is>
          <t>VÄSTRA GÖTALANDS LÄN</t>
        </is>
      </c>
      <c r="G160" t="inlineStr">
        <is>
          <t>STRÖMSTAD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46261</v>
      </c>
      <c r="F161" t="inlineStr">
        <is>
          <t>VÄSTRA GÖTALANDS LÄN</t>
        </is>
      </c>
      <c r="G161" t="inlineStr">
        <is>
          <t>STRÖMSTAD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46261</v>
      </c>
      <c r="F162" t="inlineStr">
        <is>
          <t>VÄSTRA GÖTALANDS LÄN</t>
        </is>
      </c>
      <c r="G162" t="inlineStr">
        <is>
          <t>STRÖMSTAD</t>
        </is>
      </c>
      <c r="I162" t="n">
        <v>15.5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46261</v>
      </c>
      <c r="F163" t="inlineStr">
        <is>
          <t>VÄSTRA GÖTALANDS LÄN</t>
        </is>
      </c>
      <c r="G163" t="inlineStr">
        <is>
          <t>STRÖMSTAD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46261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45366</v>
      </c>
      <c r="E165" s="1" t="n">
        <v>46261</v>
      </c>
      <c r="F165" t="inlineStr">
        <is>
          <t>VÄSTRA GÖTALANDS LÄN</t>
        </is>
      </c>
      <c r="G165" t="inlineStr">
        <is>
          <t>STRÖMSTAD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46261</v>
      </c>
      <c r="F166" t="inlineStr">
        <is>
          <t>VÄSTRA GÖTALANDS LÄN</t>
        </is>
      </c>
      <c r="G166" t="inlineStr">
        <is>
          <t>STRÖMSTAD</t>
        </is>
      </c>
      <c r="I166" t="n">
        <v>14.5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46261</v>
      </c>
      <c r="F167" t="inlineStr">
        <is>
          <t>VÄSTRA GÖTALANDS LÄN</t>
        </is>
      </c>
      <c r="G167" t="inlineStr">
        <is>
          <t>STRÖMSTAD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46261</v>
      </c>
      <c r="F168" t="inlineStr">
        <is>
          <t>VÄSTRA GÖTALANDS LÄN</t>
        </is>
      </c>
      <c r="G168" t="inlineStr">
        <is>
          <t>STRÖMSTAD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45351</v>
      </c>
      <c r="E169" s="1" t="n">
        <v>46261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45085</v>
      </c>
      <c r="E170" s="1" t="n">
        <v>46261</v>
      </c>
      <c r="F170" t="inlineStr">
        <is>
          <t>VÄSTRA GÖTALANDS LÄN</t>
        </is>
      </c>
      <c r="G170" t="inlineStr">
        <is>
          <t>STRÖMSTAD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46261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46261</v>
      </c>
      <c r="F172" t="inlineStr">
        <is>
          <t>VÄSTRA GÖTALANDS LÄN</t>
        </is>
      </c>
      <c r="G172" t="inlineStr">
        <is>
          <t>STRÖMSTAD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46261</v>
      </c>
      <c r="F173" t="inlineStr">
        <is>
          <t>VÄSTRA GÖTALANDS LÄN</t>
        </is>
      </c>
      <c r="G173" t="inlineStr">
        <is>
          <t>STRÖMSTAD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46261</v>
      </c>
      <c r="F174" t="inlineStr">
        <is>
          <t>VÄSTRA GÖTALANDS LÄN</t>
        </is>
      </c>
      <c r="G174" t="inlineStr">
        <is>
          <t>STRÖMSTAD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45318</v>
      </c>
      <c r="E175" s="1" t="n">
        <v>46261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Kommuner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44704</v>
      </c>
      <c r="E176" s="1" t="n">
        <v>46261</v>
      </c>
      <c r="F176" t="inlineStr">
        <is>
          <t>VÄSTRA GÖTALANDS LÄN</t>
        </is>
      </c>
      <c r="G176" t="inlineStr">
        <is>
          <t>STRÖMSTAD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46261</v>
      </c>
      <c r="F177" t="inlineStr">
        <is>
          <t>VÄSTRA GÖTALANDS LÄN</t>
        </is>
      </c>
      <c r="G177" t="inlineStr">
        <is>
          <t>STRÖMSTAD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45301</v>
      </c>
      <c r="E178" s="1" t="n">
        <v>46261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46261</v>
      </c>
      <c r="F179" t="inlineStr">
        <is>
          <t>VÄSTRA GÖTALANDS LÄN</t>
        </is>
      </c>
      <c r="G179" t="inlineStr">
        <is>
          <t>STRÖMSTAD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44892</v>
      </c>
      <c r="E180" s="1" t="n">
        <v>46261</v>
      </c>
      <c r="F180" t="inlineStr">
        <is>
          <t>VÄSTRA GÖTALANDS LÄN</t>
        </is>
      </c>
      <c r="G180" t="inlineStr">
        <is>
          <t>STRÖMSTAD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46261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44621</v>
      </c>
      <c r="E182" s="1" t="n">
        <v>46261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46261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46261</v>
      </c>
      <c r="F184" t="inlineStr">
        <is>
          <t>VÄSTRA GÖTALANDS LÄN</t>
        </is>
      </c>
      <c r="G184" t="inlineStr">
        <is>
          <t>STRÖMSTAD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46261</v>
      </c>
      <c r="F185" t="inlineStr">
        <is>
          <t>VÄSTRA GÖTALANDS LÄN</t>
        </is>
      </c>
      <c r="G185" t="inlineStr">
        <is>
          <t>STRÖMSTAD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46261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46261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46261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46261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46261</v>
      </c>
      <c r="F190" t="inlineStr">
        <is>
          <t>VÄSTRA GÖTALANDS LÄN</t>
        </is>
      </c>
      <c r="G190" t="inlineStr">
        <is>
          <t>STRÖMSTAD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46261</v>
      </c>
      <c r="F191" t="inlineStr">
        <is>
          <t>VÄSTRA GÖTALANDS LÄN</t>
        </is>
      </c>
      <c r="G191" t="inlineStr">
        <is>
          <t>STRÖMSTAD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44875</v>
      </c>
      <c r="E192" s="1" t="n">
        <v>46261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46261</v>
      </c>
      <c r="F193" t="inlineStr">
        <is>
          <t>VÄSTRA GÖTALANDS LÄN</t>
        </is>
      </c>
      <c r="G193" t="inlineStr">
        <is>
          <t>STRÖMSTAD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46261</v>
      </c>
      <c r="F194" t="inlineStr">
        <is>
          <t>VÄSTRA GÖTALANDS LÄN</t>
        </is>
      </c>
      <c r="G194" t="inlineStr">
        <is>
          <t>STRÖMSTAD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46261</v>
      </c>
      <c r="F195" t="inlineStr">
        <is>
          <t>VÄSTRA GÖTALANDS LÄN</t>
        </is>
      </c>
      <c r="G195" t="inlineStr">
        <is>
          <t>STRÖMSTAD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46261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46261</v>
      </c>
      <c r="F197" t="inlineStr">
        <is>
          <t>VÄSTRA GÖTALANDS LÄN</t>
        </is>
      </c>
      <c r="G197" t="inlineStr">
        <is>
          <t>STRÖMSTAD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46261</v>
      </c>
      <c r="F198" t="inlineStr">
        <is>
          <t>VÄSTRA GÖTALANDS LÄN</t>
        </is>
      </c>
      <c r="G198" t="inlineStr">
        <is>
          <t>STRÖMSTAD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46261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Kyrkan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46261</v>
      </c>
      <c r="F200" t="inlineStr">
        <is>
          <t>VÄSTRA GÖTALANDS LÄN</t>
        </is>
      </c>
      <c r="G200" t="inlineStr">
        <is>
          <t>STRÖMSTAD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46261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46261</v>
      </c>
      <c r="F202" t="inlineStr">
        <is>
          <t>VÄSTRA GÖTALANDS LÄN</t>
        </is>
      </c>
      <c r="G202" t="inlineStr">
        <is>
          <t>STRÖMSTAD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46261</v>
      </c>
      <c r="F203" t="inlineStr">
        <is>
          <t>VÄSTRA GÖTALANDS LÄN</t>
        </is>
      </c>
      <c r="G203" t="inlineStr">
        <is>
          <t>STRÖMSTAD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46261</v>
      </c>
      <c r="F204" t="inlineStr">
        <is>
          <t>VÄSTRA GÖTALANDS LÄN</t>
        </is>
      </c>
      <c r="G204" t="inlineStr">
        <is>
          <t>STRÖMSTAD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46261</v>
      </c>
      <c r="F205" t="inlineStr">
        <is>
          <t>VÄSTRA GÖTALANDS LÄN</t>
        </is>
      </c>
      <c r="G205" t="inlineStr">
        <is>
          <t>STRÖMSTAD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46261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46261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46261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46261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2026-08-27T01:51:51Z</dcterms:created>
  <dcterms:modified xmlns:dcterms="http://purl.org/dc/terms/" xmlns:xsi="http://www.w3.org/2001/XMLSchema-instance" xsi:type="dcterms:W3CDTF">2026-08-27T01:51:52Z</dcterms:modified>
</cp:coreProperties>
</file>