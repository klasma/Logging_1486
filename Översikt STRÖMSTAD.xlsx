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46216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46216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46216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46216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Älg
Blåmossa
Spillkråka</t>
        </is>
      </c>
      <c r="V7">
        <f>HYPERLINK("https://klasma.github.io/Logging_1486/artfynd/A 50432-2025 artfynd.xlsx", "A 50432-2025")</f>
        <v/>
      </c>
      <c r="W7">
        <f>HYPERLINK("https://klasma.github.io/Logging_1486/kartor/A 50432-2025 karta.png", "A 50432-2025")</f>
        <v/>
      </c>
      <c r="Y7">
        <f>HYPERLINK("https://klasma.github.io/Logging_1486/klagomål/A 50432-2025 FSC-klagomål.docx", "A 50432-2025")</f>
        <v/>
      </c>
      <c r="Z7">
        <f>HYPERLINK("https://klasma.github.io/Logging_1486/klagomålsmail/A 50432-2025 FSC-klagomål mail.docx", "A 50432-2025")</f>
        <v/>
      </c>
      <c r="AA7">
        <f>HYPERLINK("https://klasma.github.io/Logging_1486/tillsyn/A 50432-2025 tillsynsbegäran.docx", "A 50432-2025")</f>
        <v/>
      </c>
      <c r="AB7">
        <f>HYPERLINK("https://klasma.github.io/Logging_1486/tillsynsmail/A 50432-2025 tillsynsbegäran mail.docx", "A 50432-2025")</f>
        <v/>
      </c>
      <c r="AC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46216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Älg
Blåmossa
Spillkråka</t>
        </is>
      </c>
      <c r="V8">
        <f>HYPERLINK("https://klasma.github.io/Logging_1486/artfynd/A 50437-2025 artfynd.xlsx", "A 50437-2025")</f>
        <v/>
      </c>
      <c r="W8">
        <f>HYPERLINK("https://klasma.github.io/Logging_1486/kartor/A 50437-2025 karta.png", "A 50437-2025")</f>
        <v/>
      </c>
      <c r="Y8">
        <f>HYPERLINK("https://klasma.github.io/Logging_1486/klagomål/A 50437-2025 FSC-klagomål.docx", "A 50437-2025")</f>
        <v/>
      </c>
      <c r="Z8">
        <f>HYPERLINK("https://klasma.github.io/Logging_1486/klagomålsmail/A 50437-2025 FSC-klagomål mail.docx", "A 50437-2025")</f>
        <v/>
      </c>
      <c r="AA8">
        <f>HYPERLINK("https://klasma.github.io/Logging_1486/tillsyn/A 50437-2025 tillsynsbegäran.docx", "A 50437-2025")</f>
        <v/>
      </c>
      <c r="AB8">
        <f>HYPERLINK("https://klasma.github.io/Logging_1486/tillsynsmail/A 50437-2025 tillsynsbegäran mail.docx", "A 50437-2025")</f>
        <v/>
      </c>
      <c r="AC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46216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Blåmossa
Spillkråka
Revlummer</t>
        </is>
      </c>
      <c r="V9">
        <f>HYPERLINK("https://klasma.github.io/Logging_1486/artfynd/A 62152-2025 artfynd.xlsx", "A 62152-2025")</f>
        <v/>
      </c>
      <c r="W9">
        <f>HYPERLINK("https://klasma.github.io/Logging_1486/kartor/A 62152-2025 karta.png", "A 62152-2025")</f>
        <v/>
      </c>
      <c r="Y9">
        <f>HYPERLINK("https://klasma.github.io/Logging_1486/klagomål/A 62152-2025 FSC-klagomål.docx", "A 62152-2025")</f>
        <v/>
      </c>
      <c r="Z9">
        <f>HYPERLINK("https://klasma.github.io/Logging_1486/klagomålsmail/A 62152-2025 FSC-klagomål mail.docx", "A 62152-2025")</f>
        <v/>
      </c>
      <c r="AA9">
        <f>HYPERLINK("https://klasma.github.io/Logging_1486/tillsyn/A 62152-2025 tillsynsbegäran.docx", "A 62152-2025")</f>
        <v/>
      </c>
      <c r="AB9">
        <f>HYPERLINK("https://klasma.github.io/Logging_1486/tillsynsmail/A 62152-2025 tillsynsbegäran mail.docx", "A 62152-2025")</f>
        <v/>
      </c>
      <c r="AC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46216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s="2" t="inlineStr">
        <is>
          <t>Knärot
Grönpyrola
Revlummer</t>
        </is>
      </c>
      <c r="V10">
        <f>HYPERLINK("https://klasma.github.io/Logging_1486/artfynd/A 6043-2024 artfynd.xlsx", "A 6043-2024")</f>
        <v/>
      </c>
      <c r="W10">
        <f>HYPERLINK("https://klasma.github.io/Logging_1486/kartor/A 6043-2024 karta.png", "A 6043-2024")</f>
        <v/>
      </c>
      <c r="X10">
        <f>HYPERLINK("https://klasma.github.io/Logging_1486/knärot/A 6043-2024 karta knärot.png", "A 6043-2024")</f>
        <v/>
      </c>
      <c r="Y10">
        <f>HYPERLINK("https://klasma.github.io/Logging_1486/klagomål/A 6043-2024 FSC-klagomål.docx", "A 6043-2024")</f>
        <v/>
      </c>
      <c r="Z10">
        <f>HYPERLINK("https://klasma.github.io/Logging_1486/klagomålsmail/A 6043-2024 FSC-klagomål mail.docx", "A 6043-2024")</f>
        <v/>
      </c>
      <c r="AA10">
        <f>HYPERLINK("https://klasma.github.io/Logging_1486/tillsyn/A 6043-2024 tillsynsbegäran.docx", "A 6043-2024")</f>
        <v/>
      </c>
      <c r="AB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46216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s="2" t="inlineStr">
        <is>
          <t>Blåmossa
Spillkråka
Revlummer</t>
        </is>
      </c>
      <c r="V11">
        <f>HYPERLINK("https://klasma.github.io/Logging_1486/artfynd/A 4173-2022 artfynd.xlsx", "A 4173-2022")</f>
        <v/>
      </c>
      <c r="W11">
        <f>HYPERLINK("https://klasma.github.io/Logging_1486/kartor/A 4173-2022 karta.png", "A 4173-2022")</f>
        <v/>
      </c>
      <c r="Y11">
        <f>HYPERLINK("https://klasma.github.io/Logging_1486/klagomål/A 4173-2022 FSC-klagomål.docx", "A 4173-2022")</f>
        <v/>
      </c>
      <c r="Z11">
        <f>HYPERLINK("https://klasma.github.io/Logging_1486/klagomålsmail/A 4173-2022 FSC-klagomål mail.docx", "A 4173-2022")</f>
        <v/>
      </c>
      <c r="AA11">
        <f>HYPERLINK("https://klasma.github.io/Logging_1486/tillsyn/A 4173-2022 tillsynsbegäran.docx", "A 4173-2022")</f>
        <v/>
      </c>
      <c r="AB11">
        <f>HYPERLINK("https://klasma.github.io/Logging_1486/tillsynsmail/A 4173-2022 tillsynsbegäran mail.docx", "A 4173-2022")</f>
        <v/>
      </c>
      <c r="AC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46216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46216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46216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Knärot
Lopplummer (aggregat)</t>
        </is>
      </c>
      <c r="V14">
        <f>HYPERLINK("https://klasma.github.io/Logging_1486/artfynd/A 9001-2025 artfynd.xlsx", "A 9001-2025")</f>
        <v/>
      </c>
      <c r="W14">
        <f>HYPERLINK("https://klasma.github.io/Logging_1486/kartor/A 9001-2025 karta.png", "A 9001-2025")</f>
        <v/>
      </c>
      <c r="X14">
        <f>HYPERLINK("https://klasma.github.io/Logging_1486/knärot/A 9001-2025 karta knärot.png", "A 9001-2025")</f>
        <v/>
      </c>
      <c r="Y14">
        <f>HYPERLINK("https://klasma.github.io/Logging_1486/klagomål/A 9001-2025 FSC-klagomål.docx", "A 9001-2025")</f>
        <v/>
      </c>
      <c r="Z14">
        <f>HYPERLINK("https://klasma.github.io/Logging_1486/klagomålsmail/A 9001-2025 FSC-klagomål mail.docx", "A 9001-2025")</f>
        <v/>
      </c>
      <c r="AA14">
        <f>HYPERLINK("https://klasma.github.io/Logging_1486/tillsyn/A 9001-2025 tillsynsbegäran.docx", "A 9001-2025")</f>
        <v/>
      </c>
      <c r="AB14">
        <f>HYPERLINK("https://klasma.github.io/Logging_1486/tillsynsmail/A 9001-2025 tillsynsbegäran mail.docx", "A 9001-2025")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46216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Kopparödla</t>
        </is>
      </c>
      <c r="V15">
        <f>HYPERLINK("https://klasma.github.io/Logging_1486/artfynd/A 56318-2025 artfynd.xlsx", "A 56318-2025")</f>
        <v/>
      </c>
      <c r="W15">
        <f>HYPERLINK("https://klasma.github.io/Logging_1486/kartor/A 56318-2025 karta.png", "A 56318-2025")</f>
        <v/>
      </c>
      <c r="Y15">
        <f>HYPERLINK("https://klasma.github.io/Logging_1486/klagomål/A 56318-2025 FSC-klagomål.docx", "A 56318-2025")</f>
        <v/>
      </c>
      <c r="Z15">
        <f>HYPERLINK("https://klasma.github.io/Logging_1486/klagomålsmail/A 56318-2025 FSC-klagomål mail.docx", "A 56318-2025")</f>
        <v/>
      </c>
      <c r="AA15">
        <f>HYPERLINK("https://klasma.github.io/Logging_1486/tillsyn/A 56318-2025 tillsynsbegäran.docx", "A 56318-2025")</f>
        <v/>
      </c>
      <c r="AB15">
        <f>HYPERLINK("https://klasma.github.io/Logging_1486/tillsynsmail/A 56318-2025 tillsynsbegäran mail.docx", "A 56318-2025")</f>
        <v/>
      </c>
      <c r="AC15">
        <f>HYPERLINK("https://klasma.github.io/Logging_1486/fåglar/A 56318-2025 prioriterade fågelarter.docx", "A 56318-2025")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46216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Revlummer</t>
        </is>
      </c>
      <c r="V16">
        <f>HYPERLINK("https://klasma.github.io/Logging_1486/artfynd/A 8291-2023 artfynd.xlsx", "A 8291-2023")</f>
        <v/>
      </c>
      <c r="W16">
        <f>HYPERLINK("https://klasma.github.io/Logging_1486/kartor/A 8291-2023 karta.png", "A 8291-2023")</f>
        <v/>
      </c>
      <c r="Y16">
        <f>HYPERLINK("https://klasma.github.io/Logging_1486/klagomål/A 8291-2023 FSC-klagomål.docx", "A 8291-2023")</f>
        <v/>
      </c>
      <c r="Z16">
        <f>HYPERLINK("https://klasma.github.io/Logging_1486/klagomålsmail/A 8291-2023 FSC-klagomål mail.docx", "A 8291-2023")</f>
        <v/>
      </c>
      <c r="AA16">
        <f>HYPERLINK("https://klasma.github.io/Logging_1486/tillsyn/A 8291-2023 tillsynsbegäran.docx", "A 8291-2023")</f>
        <v/>
      </c>
      <c r="AB16">
        <f>HYPERLINK("https://klasma.github.io/Logging_1486/tillsynsmail/A 8291-2023 tillsynsbegäran mail.docx", "A 8291-2023")</f>
        <v/>
      </c>
      <c r="AC16">
        <f>HYPERLINK("https://klasma.github.io/Logging_1486/fåglar/A 8291-2023 prioriterade fågelarter.docx", "A 8291-2023")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46216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Lopplummer (aggregat)
Revlummer</t>
        </is>
      </c>
      <c r="V17">
        <f>HYPERLINK("https://klasma.github.io/Logging_1486/artfynd/A 9839-2026 artfynd.xlsx", "A 9839-2026")</f>
        <v/>
      </c>
      <c r="W17">
        <f>HYPERLINK("https://klasma.github.io/Logging_1486/kartor/A 9839-2026 karta.png", "A 9839-2026")</f>
        <v/>
      </c>
      <c r="Y17">
        <f>HYPERLINK("https://klasma.github.io/Logging_1486/klagomål/A 9839-2026 FSC-klagomål.docx", "A 9839-2026")</f>
        <v/>
      </c>
      <c r="Z17">
        <f>HYPERLINK("https://klasma.github.io/Logging_1486/klagomålsmail/A 9839-2026 FSC-klagomål mail.docx", "A 9839-2026")</f>
        <v/>
      </c>
      <c r="AA17">
        <f>HYPERLINK("https://klasma.github.io/Logging_1486/tillsyn/A 9839-2026 tillsynsbegäran.docx", "A 9839-2026")</f>
        <v/>
      </c>
      <c r="AB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46216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Backstarr
Blåsippa</t>
        </is>
      </c>
      <c r="V18">
        <f>HYPERLINK("https://klasma.github.io/Logging_1486/artfynd/A 48687-2025 artfynd.xlsx", "A 48687-2025")</f>
        <v/>
      </c>
      <c r="W18">
        <f>HYPERLINK("https://klasma.github.io/Logging_1486/kartor/A 48687-2025 karta.png", "A 48687-2025")</f>
        <v/>
      </c>
      <c r="Y18">
        <f>HYPERLINK("https://klasma.github.io/Logging_1486/klagomål/A 48687-2025 FSC-klagomål.docx", "A 48687-2025")</f>
        <v/>
      </c>
      <c r="Z18">
        <f>HYPERLINK("https://klasma.github.io/Logging_1486/klagomålsmail/A 48687-2025 FSC-klagomål mail.docx", "A 48687-2025")</f>
        <v/>
      </c>
      <c r="AA18">
        <f>HYPERLINK("https://klasma.github.io/Logging_1486/tillsyn/A 48687-2025 tillsynsbegäran.docx", "A 48687-2025")</f>
        <v/>
      </c>
      <c r="AB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46216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Entita</t>
        </is>
      </c>
      <c r="V19">
        <f>HYPERLINK("https://klasma.github.io/Logging_1486/artfynd/A 33772-2023 artfynd.xlsx", "A 33772-2023")</f>
        <v/>
      </c>
      <c r="W19">
        <f>HYPERLINK("https://klasma.github.io/Logging_1486/kartor/A 33772-2023 karta.png", "A 33772-2023")</f>
        <v/>
      </c>
      <c r="Y19">
        <f>HYPERLINK("https://klasma.github.io/Logging_1486/klagomål/A 33772-2023 FSC-klagomål.docx", "A 33772-2023")</f>
        <v/>
      </c>
      <c r="Z19">
        <f>HYPERLINK("https://klasma.github.io/Logging_1486/klagomålsmail/A 33772-2023 FSC-klagomål mail.docx", "A 33772-2023")</f>
        <v/>
      </c>
      <c r="AA19">
        <f>HYPERLINK("https://klasma.github.io/Logging_1486/tillsyn/A 33772-2023 tillsynsbegäran.docx", "A 33772-2023")</f>
        <v/>
      </c>
      <c r="AB19">
        <f>HYPERLINK("https://klasma.github.io/Logging_1486/tillsynsmail/A 33772-2023 tillsynsbegäran mail.docx", "A 33772-2023")</f>
        <v/>
      </c>
      <c r="AC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46216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Gullpudra</t>
        </is>
      </c>
      <c r="V20">
        <f>HYPERLINK("https://klasma.github.io/Logging_1486/artfynd/A 15667-2024 artfynd.xlsx", "A 15667-2024")</f>
        <v/>
      </c>
      <c r="W20">
        <f>HYPERLINK("https://klasma.github.io/Logging_1486/kartor/A 15667-2024 karta.png", "A 15667-2024")</f>
        <v/>
      </c>
      <c r="Y20">
        <f>HYPERLINK("https://klasma.github.io/Logging_1486/klagomål/A 15667-2024 FSC-klagomål.docx", "A 15667-2024")</f>
        <v/>
      </c>
      <c r="Z20">
        <f>HYPERLINK("https://klasma.github.io/Logging_1486/klagomålsmail/A 15667-2024 FSC-klagomål mail.docx", "A 15667-2024")</f>
        <v/>
      </c>
      <c r="AA20">
        <f>HYPERLINK("https://klasma.github.io/Logging_1486/tillsyn/A 15667-2024 tillsynsbegäran.docx", "A 15667-2024")</f>
        <v/>
      </c>
      <c r="AB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46216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HYPERLINK("https://klasma.github.io/Logging_1486/artfynd/A 64707-2023 artfynd.xlsx", "A 64707-2023")</f>
        <v/>
      </c>
      <c r="W21">
        <f>HYPERLINK("https://klasma.github.io/Logging_1486/kartor/A 64707-2023 karta.png", "A 64707-2023")</f>
        <v/>
      </c>
      <c r="X21">
        <f>HYPERLINK("https://klasma.github.io/Logging_1486/knärot/A 64707-2023 karta knärot.png", "A 64707-2023")</f>
        <v/>
      </c>
      <c r="Y21">
        <f>HYPERLINK("https://klasma.github.io/Logging_1486/klagomål/A 64707-2023 FSC-klagomål.docx", "A 64707-2023")</f>
        <v/>
      </c>
      <c r="Z21">
        <f>HYPERLINK("https://klasma.github.io/Logging_1486/klagomålsmail/A 64707-2023 FSC-klagomål mail.docx", "A 64707-2023")</f>
        <v/>
      </c>
      <c r="AA21">
        <f>HYPERLINK("https://klasma.github.io/Logging_1486/tillsyn/A 64707-2023 tillsynsbegäran.docx", "A 64707-2023")</f>
        <v/>
      </c>
      <c r="AB21">
        <f>HYPERLINK("https://klasma.github.io/Logging_1486/tillsynsmail/A 64707-2023 tillsynsbegäran mail.docx", "A 64707-2023")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46216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Y22">
        <f>HYPERLINK("https://klasma.github.io/Logging_1486/klagomål/A 50607-2025 FSC-klagomål.docx", "A 50607-2025")</f>
        <v/>
      </c>
      <c r="Z22">
        <f>HYPERLINK("https://klasma.github.io/Logging_1486/klagomålsmail/A 50607-2025 FSC-klagomål mail.docx", "A 50607-2025")</f>
        <v/>
      </c>
      <c r="AA22">
        <f>HYPERLINK("https://klasma.github.io/Logging_1486/tillsyn/A 50607-2025 tillsynsbegäran.docx", "A 50607-2025")</f>
        <v/>
      </c>
      <c r="AB22">
        <f>HYPERLINK("https://klasma.github.io/Logging_1486/tillsynsmail/A 50607-2025 tillsynsbegäran mail.docx", "A 50607-2025")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46216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HYPERLINK("https://klasma.github.io/Logging_1486/artfynd/A 53485-2023 artfynd.xlsx", "A 53485-2023")</f>
        <v/>
      </c>
      <c r="W23">
        <f>HYPERLINK("https://klasma.github.io/Logging_1486/kartor/A 53485-2023 karta.png", "A 53485-2023")</f>
        <v/>
      </c>
      <c r="Y23">
        <f>HYPERLINK("https://klasma.github.io/Logging_1486/klagomål/A 53485-2023 FSC-klagomål.docx", "A 53485-2023")</f>
        <v/>
      </c>
      <c r="Z23">
        <f>HYPERLINK("https://klasma.github.io/Logging_1486/klagomålsmail/A 53485-2023 FSC-klagomål mail.docx", "A 53485-2023")</f>
        <v/>
      </c>
      <c r="AA23">
        <f>HYPERLINK("https://klasma.github.io/Logging_1486/tillsyn/A 53485-2023 tillsynsbegäran.docx", "A 53485-2023")</f>
        <v/>
      </c>
      <c r="AB23">
        <f>HYPERLINK("https://klasma.github.io/Logging_1486/tillsynsmail/A 53485-2023 tillsynsbegäran mail.docx", "A 53485-2023")</f>
        <v/>
      </c>
      <c r="AC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46216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HYPERLINK("https://klasma.github.io/Logging_1486/artfynd/A 10764-2024 artfynd.xlsx", "A 10764-2024")</f>
        <v/>
      </c>
      <c r="W24">
        <f>HYPERLINK("https://klasma.github.io/Logging_1486/kartor/A 10764-2024 karta.png", "A 10764-2024")</f>
        <v/>
      </c>
      <c r="Y24">
        <f>HYPERLINK("https://klasma.github.io/Logging_1486/klagomål/A 10764-2024 FSC-klagomål.docx", "A 10764-2024")</f>
        <v/>
      </c>
      <c r="Z24">
        <f>HYPERLINK("https://klasma.github.io/Logging_1486/klagomålsmail/A 10764-2024 FSC-klagomål mail.docx", "A 10764-2024")</f>
        <v/>
      </c>
      <c r="AA24">
        <f>HYPERLINK("https://klasma.github.io/Logging_1486/tillsyn/A 10764-2024 tillsynsbegäran.docx", "A 10764-2024")</f>
        <v/>
      </c>
      <c r="AB24">
        <f>HYPERLINK("https://klasma.github.io/Logging_1486/tillsynsmail/A 10764-2024 tillsynsbegäran mail.docx", "A 10764-2024")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46216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HYPERLINK("https://klasma.github.io/Logging_1486/artfynd/A 6128-2026 artfynd.xlsx", "A 6128-2026")</f>
        <v/>
      </c>
      <c r="W25">
        <f>HYPERLINK("https://klasma.github.io/Logging_1486/kartor/A 6128-2026 karta.png", "A 6128-2026")</f>
        <v/>
      </c>
      <c r="Y25">
        <f>HYPERLINK("https://klasma.github.io/Logging_1486/klagomål/A 6128-2026 FSC-klagomål.docx", "A 6128-2026")</f>
        <v/>
      </c>
      <c r="Z25">
        <f>HYPERLINK("https://klasma.github.io/Logging_1486/klagomålsmail/A 6128-2026 FSC-klagomål mail.docx", "A 6128-2026")</f>
        <v/>
      </c>
      <c r="AA25">
        <f>HYPERLINK("https://klasma.github.io/Logging_1486/tillsyn/A 6128-2026 tillsynsbegäran.docx", "A 6128-2026")</f>
        <v/>
      </c>
      <c r="AB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46216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HYPERLINK("https://klasma.github.io/Logging_1486/artfynd/A 12238-2025 artfynd.xlsx", "A 12238-2025")</f>
        <v/>
      </c>
      <c r="W26">
        <f>HYPERLINK("https://klasma.github.io/Logging_1486/kartor/A 12238-2025 karta.png", "A 12238-2025")</f>
        <v/>
      </c>
      <c r="Y26">
        <f>HYPERLINK("https://klasma.github.io/Logging_1486/klagomål/A 12238-2025 FSC-klagomål.docx", "A 12238-2025")</f>
        <v/>
      </c>
      <c r="Z26">
        <f>HYPERLINK("https://klasma.github.io/Logging_1486/klagomålsmail/A 12238-2025 FSC-klagomål mail.docx", "A 12238-2025")</f>
        <v/>
      </c>
      <c r="AA26">
        <f>HYPERLINK("https://klasma.github.io/Logging_1486/tillsyn/A 12238-2025 tillsynsbegäran.docx", "A 12238-2025")</f>
        <v/>
      </c>
      <c r="AB26">
        <f>HYPERLINK("https://klasma.github.io/Logging_1486/tillsynsmail/A 12238-2025 tillsynsbegäran mail.docx", "A 12238-2025")</f>
        <v/>
      </c>
      <c r="AC26">
        <f>HYPERLINK("https://klasma.github.io/Logging_1486/fåglar/A 12238-2025 prioriterade fågelarter.docx", "A 12238-2025")</f>
        <v/>
      </c>
    </row>
    <row r="27" ht="15" customHeight="1">
      <c r="A27" t="inlineStr">
        <is>
          <t>A 24514-2024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45458</v>
      </c>
      <c r="E27" s="1" t="n">
        <v>46216</v>
      </c>
      <c r="F27" t="inlineStr">
        <is>
          <t>VÄSTRA GÖTALANDS LÄN</t>
        </is>
      </c>
      <c r="G27" t="inlineStr">
        <is>
          <t>STRÖMSTAD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HYPERLINK("https://klasma.github.io/Logging_1486/artfynd/A 24514-2024 artfynd.xlsx", "A 24514-2024")</f>
        <v/>
      </c>
      <c r="W27">
        <f>HYPERLINK("https://klasma.github.io/Logging_1486/kartor/A 24514-2024 karta.png", "A 24514-2024")</f>
        <v/>
      </c>
      <c r="Y27">
        <f>HYPERLINK("https://klasma.github.io/Logging_1486/klagomål/A 24514-2024 FSC-klagomål.docx", "A 24514-2024")</f>
        <v/>
      </c>
      <c r="Z27">
        <f>HYPERLINK("https://klasma.github.io/Logging_1486/klagomålsmail/A 24514-2024 FSC-klagomål mail.docx", "A 24514-2024")</f>
        <v/>
      </c>
      <c r="AA27">
        <f>HYPERLINK("https://klasma.github.io/Logging_1486/tillsyn/A 24514-2024 tillsynsbegäran.docx", "A 24514-2024")</f>
        <v/>
      </c>
      <c r="AB27">
        <f>HYPERLINK("https://klasma.github.io/Logging_1486/tillsynsmail/A 24514-2024 tillsynsbegäran mail.docx", "A 24514-2024")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46216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Hasselsnok</t>
        </is>
      </c>
      <c r="V28">
        <f>HYPERLINK("https://klasma.github.io/Logging_1486/artfynd/A 14442-2026 artfynd.xlsx", "A 14442-2026")</f>
        <v/>
      </c>
      <c r="W28">
        <f>HYPERLINK("https://klasma.github.io/Logging_1486/kartor/A 14442-2026 karta.png", "A 14442-2026")</f>
        <v/>
      </c>
      <c r="Y28">
        <f>HYPERLINK("https://klasma.github.io/Logging_1486/klagomål/A 14442-2026 FSC-klagomål.docx", "A 14442-2026")</f>
        <v/>
      </c>
      <c r="Z28">
        <f>HYPERLINK("https://klasma.github.io/Logging_1486/klagomålsmail/A 14442-2026 FSC-klagomål mail.docx", "A 14442-2026")</f>
        <v/>
      </c>
      <c r="AA28">
        <f>HYPERLINK("https://klasma.github.io/Logging_1486/tillsyn/A 14442-2026 tillsynsbegäran.docx", "A 14442-2026")</f>
        <v/>
      </c>
      <c r="AB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46216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HYPERLINK("https://klasma.github.io/Logging_1486/artfynd/A 14455-2026 artfynd.xlsx", "A 14455-2026")</f>
        <v/>
      </c>
      <c r="W29">
        <f>HYPERLINK("https://klasma.github.io/Logging_1486/kartor/A 14455-2026 karta.png", "A 14455-2026")</f>
        <v/>
      </c>
      <c r="Y29">
        <f>HYPERLINK("https://klasma.github.io/Logging_1486/klagomål/A 14455-2026 FSC-klagomål.docx", "A 14455-2026")</f>
        <v/>
      </c>
      <c r="Z29">
        <f>HYPERLINK("https://klasma.github.io/Logging_1486/klagomålsmail/A 14455-2026 FSC-klagomål mail.docx", "A 14455-2026")</f>
        <v/>
      </c>
      <c r="AA29">
        <f>HYPERLINK("https://klasma.github.io/Logging_1486/tillsyn/A 14455-2026 tillsynsbegäran.docx", "A 14455-2026")</f>
        <v/>
      </c>
      <c r="AB29">
        <f>HYPERLINK("https://klasma.github.io/Logging_1486/tillsynsmail/A 14455-2026 tillsynsbegäran mail.docx", "A 14455-2026")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46216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Y30">
        <f>HYPERLINK("https://klasma.github.io/Logging_1486/klagomål/A 12779-2025 FSC-klagomål.docx", "A 12779-2025")</f>
        <v/>
      </c>
      <c r="Z30">
        <f>HYPERLINK("https://klasma.github.io/Logging_1486/klagomålsmail/A 12779-2025 FSC-klagomål mail.docx", "A 12779-2025")</f>
        <v/>
      </c>
      <c r="AA30">
        <f>HYPERLINK("https://klasma.github.io/Logging_1486/tillsyn/A 12779-2025 tillsynsbegäran.docx", "A 12779-2025")</f>
        <v/>
      </c>
      <c r="AB30">
        <f>HYPERLINK("https://klasma.github.io/Logging_1486/tillsynsmail/A 12779-2025 tillsynsbegäran mail.docx", "A 12779-2025")</f>
        <v/>
      </c>
      <c r="AC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46216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46216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46216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46216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46216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46216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46216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46216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46216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46216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46216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46216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46216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46216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46216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46216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46216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46216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46216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46216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46216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46216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46216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46216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46216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46216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46216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46216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52262-2023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46216</v>
      </c>
      <c r="F59" t="inlineStr">
        <is>
          <t>VÄSTRA GÖTALANDS LÄN</t>
        </is>
      </c>
      <c r="G59" t="inlineStr">
        <is>
          <t>STRÖMSTAD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46216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46216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46216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44883-2021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46216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10470-2024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46216</v>
      </c>
      <c r="F64" t="inlineStr">
        <is>
          <t>VÄSTRA GÖTALANDS LÄN</t>
        </is>
      </c>
      <c r="G64" t="inlineStr">
        <is>
          <t>STRÖMSTAD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46216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46216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46216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46216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46216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46216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46216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46029</v>
      </c>
      <c r="E72" s="1" t="n">
        <v>46216</v>
      </c>
      <c r="F72" t="inlineStr">
        <is>
          <t>VÄSTRA GÖTALANDS LÄN</t>
        </is>
      </c>
      <c r="G72" t="inlineStr">
        <is>
          <t>STRÖMSTAD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26233-2025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46216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46216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15552-2023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45018</v>
      </c>
      <c r="E75" s="1" t="n">
        <v>46216</v>
      </c>
      <c r="F75" t="inlineStr">
        <is>
          <t>VÄSTRA GÖTALANDS LÄN</t>
        </is>
      </c>
      <c r="G75" t="inlineStr">
        <is>
          <t>STRÖMSTAD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46216</v>
      </c>
      <c r="F76" t="inlineStr">
        <is>
          <t>VÄSTRA GÖTALANDS LÄN</t>
        </is>
      </c>
      <c r="G76" t="inlineStr">
        <is>
          <t>STRÖMSTAD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13890-2022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44649</v>
      </c>
      <c r="E77" s="1" t="n">
        <v>46216</v>
      </c>
      <c r="F77" t="inlineStr">
        <is>
          <t>VÄSTRA GÖTALANDS LÄN</t>
        </is>
      </c>
      <c r="G77" t="inlineStr">
        <is>
          <t>STRÖMSTAD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46216</v>
      </c>
      <c r="F78" t="inlineStr">
        <is>
          <t>VÄSTRA GÖTALANDS LÄN</t>
        </is>
      </c>
      <c r="G78" t="inlineStr">
        <is>
          <t>STRÖMSTAD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55733-2023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46216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46216</v>
      </c>
      <c r="F80" t="inlineStr">
        <is>
          <t>VÄSTRA GÖTALANDS LÄN</t>
        </is>
      </c>
      <c r="G80" t="inlineStr">
        <is>
          <t>STRÖMSTAD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46034</v>
      </c>
      <c r="E81" s="1" t="n">
        <v>46216</v>
      </c>
      <c r="F81" t="inlineStr">
        <is>
          <t>VÄSTRA GÖTALANDS LÄN</t>
        </is>
      </c>
      <c r="G81" t="inlineStr">
        <is>
          <t>STRÖMSTAD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52852-2024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46216</v>
      </c>
      <c r="F82" t="inlineStr">
        <is>
          <t>VÄSTRA GÖTALANDS LÄN</t>
        </is>
      </c>
      <c r="G82" t="inlineStr">
        <is>
          <t>STRÖMSTAD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25884-2023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46216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50603-2024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46216</v>
      </c>
      <c r="F84" t="inlineStr">
        <is>
          <t>VÄSTRA GÖTALANDS LÄN</t>
        </is>
      </c>
      <c r="G84" t="inlineStr">
        <is>
          <t>STRÖMSTAD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46036</v>
      </c>
      <c r="E85" s="1" t="n">
        <v>46216</v>
      </c>
      <c r="F85" t="inlineStr">
        <is>
          <t>VÄSTRA GÖTALANDS LÄN</t>
        </is>
      </c>
      <c r="G85" t="inlineStr">
        <is>
          <t>STRÖMSTAD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46216</v>
      </c>
      <c r="F86" t="inlineStr">
        <is>
          <t>VÄSTRA GÖTALANDS LÄN</t>
        </is>
      </c>
      <c r="G86" t="inlineStr">
        <is>
          <t>STRÖMSTAD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46216</v>
      </c>
      <c r="F87" t="inlineStr">
        <is>
          <t>VÄSTRA GÖTALANDS LÄN</t>
        </is>
      </c>
      <c r="G87" t="inlineStr">
        <is>
          <t>STRÖMSTAD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46216</v>
      </c>
      <c r="F88" t="inlineStr">
        <is>
          <t>VÄSTRA GÖTALANDS LÄN</t>
        </is>
      </c>
      <c r="G88" t="inlineStr">
        <is>
          <t>STRÖMSTAD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33586-2025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46216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46216</v>
      </c>
      <c r="F90" t="inlineStr">
        <is>
          <t>VÄSTRA GÖTALANDS LÄN</t>
        </is>
      </c>
      <c r="G90" t="inlineStr">
        <is>
          <t>STRÖMSTAD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46216</v>
      </c>
      <c r="F91" t="inlineStr">
        <is>
          <t>VÄSTRA GÖTALANDS LÄN</t>
        </is>
      </c>
      <c r="G91" t="inlineStr">
        <is>
          <t>STRÖMSTAD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46216</v>
      </c>
      <c r="F92" t="inlineStr">
        <is>
          <t>VÄSTRA GÖTALANDS LÄN</t>
        </is>
      </c>
      <c r="G92" t="inlineStr">
        <is>
          <t>STRÖMSTAD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20476-2023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46216</v>
      </c>
      <c r="F93" t="inlineStr">
        <is>
          <t>VÄSTRA GÖTALANDS LÄN</t>
        </is>
      </c>
      <c r="G93" t="inlineStr">
        <is>
          <t>STRÖMSTAD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44459</v>
      </c>
      <c r="E94" s="1" t="n">
        <v>46216</v>
      </c>
      <c r="F94" t="inlineStr">
        <is>
          <t>VÄSTRA GÖTALANDS LÄN</t>
        </is>
      </c>
      <c r="G94" t="inlineStr">
        <is>
          <t>STRÖMSTAD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56024-2023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46216</v>
      </c>
      <c r="F95" t="inlineStr">
        <is>
          <t>VÄSTRA GÖTALANDS LÄN</t>
        </is>
      </c>
      <c r="G95" t="inlineStr">
        <is>
          <t>STRÖMSTAD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46216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16223-2025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46216</v>
      </c>
      <c r="F97" t="inlineStr">
        <is>
          <t>VÄSTRA GÖTALANDS LÄN</t>
        </is>
      </c>
      <c r="G97" t="inlineStr">
        <is>
          <t>STRÖMSTAD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41991-2022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46216</v>
      </c>
      <c r="F98" t="inlineStr">
        <is>
          <t>VÄSTRA GÖTALANDS LÄN</t>
        </is>
      </c>
      <c r="G98" t="inlineStr">
        <is>
          <t>STRÖMSTAD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45316</v>
      </c>
      <c r="E99" s="1" t="n">
        <v>46216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50626-2025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46216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Övriga Aktiebolag</t>
        </is>
      </c>
      <c r="I100" t="n">
        <v>14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17525-2025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46216</v>
      </c>
      <c r="F101" t="inlineStr">
        <is>
          <t>VÄSTRA GÖTALANDS LÄN</t>
        </is>
      </c>
      <c r="G101" t="inlineStr">
        <is>
          <t>STRÖMSTAD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46216</v>
      </c>
      <c r="F102" t="inlineStr">
        <is>
          <t>VÄSTRA GÖTALANDS LÄN</t>
        </is>
      </c>
      <c r="G102" t="inlineStr">
        <is>
          <t>STRÖMSTAD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46216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46216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46371-2022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44848</v>
      </c>
      <c r="E105" s="1" t="n">
        <v>46216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46216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Kommuner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45133</v>
      </c>
      <c r="E107" s="1" t="n">
        <v>46216</v>
      </c>
      <c r="F107" t="inlineStr">
        <is>
          <t>VÄSTRA GÖTALANDS LÄN</t>
        </is>
      </c>
      <c r="G107" t="inlineStr">
        <is>
          <t>STRÖMSTAD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46216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54126-2025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46216</v>
      </c>
      <c r="F109" t="inlineStr">
        <is>
          <t>VÄSTRA GÖTALANDS LÄN</t>
        </is>
      </c>
      <c r="G109" t="inlineStr">
        <is>
          <t>STRÖMSTAD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46216</v>
      </c>
      <c r="F110" t="inlineStr">
        <is>
          <t>VÄSTRA GÖTALANDS LÄN</t>
        </is>
      </c>
      <c r="G110" t="inlineStr">
        <is>
          <t>STRÖMSTAD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46216</v>
      </c>
      <c r="F111" t="inlineStr">
        <is>
          <t>VÄSTRA GÖTALANDS LÄN</t>
        </is>
      </c>
      <c r="G111" t="inlineStr">
        <is>
          <t>STRÖMSTAD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2982-2025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45678</v>
      </c>
      <c r="E112" s="1" t="n">
        <v>46216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60768-2022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44907</v>
      </c>
      <c r="E113" s="1" t="n">
        <v>46216</v>
      </c>
      <c r="F113" t="inlineStr">
        <is>
          <t>VÄSTRA GÖTALANDS LÄN</t>
        </is>
      </c>
      <c r="G113" t="inlineStr">
        <is>
          <t>STRÖMSTAD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46216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7545-2026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46216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7466-2026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46216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20888-2022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46216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8051-2026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46063</v>
      </c>
      <c r="E118" s="1" t="n">
        <v>46216</v>
      </c>
      <c r="F118" t="inlineStr">
        <is>
          <t>VÄSTRA GÖTALANDS LÄN</t>
        </is>
      </c>
      <c r="G118" t="inlineStr">
        <is>
          <t>STRÖMSTAD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8058-2026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46063</v>
      </c>
      <c r="E119" s="1" t="n">
        <v>46216</v>
      </c>
      <c r="F119" t="inlineStr">
        <is>
          <t>VÄSTRA GÖTALANDS LÄN</t>
        </is>
      </c>
      <c r="G119" t="inlineStr">
        <is>
          <t>STRÖMSTAD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8060-2026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46063</v>
      </c>
      <c r="E120" s="1" t="n">
        <v>46216</v>
      </c>
      <c r="F120" t="inlineStr">
        <is>
          <t>VÄSTRA GÖTALANDS LÄN</t>
        </is>
      </c>
      <c r="G120" t="inlineStr">
        <is>
          <t>STRÖMSTAD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45617-2024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46216</v>
      </c>
      <c r="F121" t="inlineStr">
        <is>
          <t>VÄSTRA GÖTALANDS LÄN</t>
        </is>
      </c>
      <c r="G121" t="inlineStr">
        <is>
          <t>STRÖMSTAD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46216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46003</v>
      </c>
      <c r="E123" s="1" t="n">
        <v>46216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10850-2026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46216</v>
      </c>
      <c r="F124" t="inlineStr">
        <is>
          <t>VÄSTRA GÖTALANDS LÄN</t>
        </is>
      </c>
      <c r="G124" t="inlineStr">
        <is>
          <t>STRÖMSTAD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9983-2022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44621</v>
      </c>
      <c r="E125" s="1" t="n">
        <v>46216</v>
      </c>
      <c r="F125" t="inlineStr">
        <is>
          <t>VÄSTRA GÖTALANDS LÄN</t>
        </is>
      </c>
      <c r="G125" t="inlineStr">
        <is>
          <t>STRÖMSTAD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33131-2023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45126</v>
      </c>
      <c r="E126" s="1" t="n">
        <v>46216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31388-2022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46216</v>
      </c>
      <c r="F127" t="inlineStr">
        <is>
          <t>VÄSTRA GÖTALANDS LÄN</t>
        </is>
      </c>
      <c r="G127" t="inlineStr">
        <is>
          <t>STRÖMSTAD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29195-2024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46216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46216</v>
      </c>
      <c r="F129" t="inlineStr">
        <is>
          <t>VÄSTRA GÖTALANDS LÄN</t>
        </is>
      </c>
      <c r="G129" t="inlineStr">
        <is>
          <t>STRÖMSTAD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44408-2021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46216</v>
      </c>
      <c r="F130" t="inlineStr">
        <is>
          <t>VÄSTRA GÖTALANDS LÄN</t>
        </is>
      </c>
      <c r="G130" t="inlineStr">
        <is>
          <t>STRÖMSTAD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10457-2023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44987</v>
      </c>
      <c r="E131" s="1" t="n">
        <v>46216</v>
      </c>
      <c r="F131" t="inlineStr">
        <is>
          <t>VÄSTRA GÖTALANDS LÄN</t>
        </is>
      </c>
      <c r="G131" t="inlineStr">
        <is>
          <t>STRÖMSTAD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46216</v>
      </c>
      <c r="F132" t="inlineStr">
        <is>
          <t>VÄSTRA GÖTALANDS LÄN</t>
        </is>
      </c>
      <c r="G132" t="inlineStr">
        <is>
          <t>STRÖMSTAD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14440-2026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46216</v>
      </c>
      <c r="F133" t="inlineStr">
        <is>
          <t>VÄSTRA GÖTALANDS LÄN</t>
        </is>
      </c>
      <c r="G133" t="inlineStr">
        <is>
          <t>STRÖMSTAD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14456-2026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46216</v>
      </c>
      <c r="F134" t="inlineStr">
        <is>
          <t>VÄSTRA GÖTALANDS LÄN</t>
        </is>
      </c>
      <c r="G134" t="inlineStr">
        <is>
          <t>STRÖMSTAD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46216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46216</v>
      </c>
      <c r="F136" t="inlineStr">
        <is>
          <t>VÄSTRA GÖTALANDS LÄN</t>
        </is>
      </c>
      <c r="G136" t="inlineStr">
        <is>
          <t>STRÖMSTAD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57768-2022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44892</v>
      </c>
      <c r="E137" s="1" t="n">
        <v>46216</v>
      </c>
      <c r="F137" t="inlineStr">
        <is>
          <t>VÄSTRA GÖTALANDS LÄN</t>
        </is>
      </c>
      <c r="G137" t="inlineStr">
        <is>
          <t>STRÖMSTAD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14437-2026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46216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16363-2024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46216</v>
      </c>
      <c r="F139" t="inlineStr">
        <is>
          <t>VÄSTRA GÖTALANDS LÄN</t>
        </is>
      </c>
      <c r="G139" t="inlineStr">
        <is>
          <t>STRÖMSTAD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15704-2025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46216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72625-2021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46216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19134-2025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45764</v>
      </c>
      <c r="E142" s="1" t="n">
        <v>46216</v>
      </c>
      <c r="F142" t="inlineStr">
        <is>
          <t>VÄSTRA GÖTALANDS LÄN</t>
        </is>
      </c>
      <c r="G142" t="inlineStr">
        <is>
          <t>STRÖMSTAD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33118-2023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46216</v>
      </c>
      <c r="F143" t="inlineStr">
        <is>
          <t>VÄSTRA GÖTALANDS LÄN</t>
        </is>
      </c>
      <c r="G143" t="inlineStr">
        <is>
          <t>STRÖMSTAD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38988-2024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46216</v>
      </c>
      <c r="F144" t="inlineStr">
        <is>
          <t>VÄSTRA GÖTALANDS LÄN</t>
        </is>
      </c>
      <c r="G144" t="inlineStr">
        <is>
          <t>STRÖMSTAD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46216</v>
      </c>
      <c r="F145" t="inlineStr">
        <is>
          <t>VÄSTRA GÖTALANDS LÄN</t>
        </is>
      </c>
      <c r="G145" t="inlineStr">
        <is>
          <t>STRÖMSTAD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46216</v>
      </c>
      <c r="F146" t="inlineStr">
        <is>
          <t>VÄSTRA GÖTALANDS LÄN</t>
        </is>
      </c>
      <c r="G146" t="inlineStr">
        <is>
          <t>STRÖMSTAD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46216</v>
      </c>
      <c r="F147" t="inlineStr">
        <is>
          <t>VÄSTRA GÖTALANDS LÄN</t>
        </is>
      </c>
      <c r="G147" t="inlineStr">
        <is>
          <t>STRÖMSTAD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54007-2024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46216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33747-2023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46216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14833-2026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46103</v>
      </c>
      <c r="E150" s="1" t="n">
        <v>46216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44523-2023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46216</v>
      </c>
      <c r="F151" t="inlineStr">
        <is>
          <t>VÄSTRA GÖTALANDS LÄN</t>
        </is>
      </c>
      <c r="G151" t="inlineStr">
        <is>
          <t>STRÖMSTAD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31917-2025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46216</v>
      </c>
      <c r="F152" t="inlineStr">
        <is>
          <t>VÄSTRA GÖTALANDS LÄN</t>
        </is>
      </c>
      <c r="G152" t="inlineStr">
        <is>
          <t>STRÖMSTAD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46216</v>
      </c>
      <c r="F153" t="inlineStr">
        <is>
          <t>VÄSTRA GÖTALANDS LÄN</t>
        </is>
      </c>
      <c r="G153" t="inlineStr">
        <is>
          <t>STRÖMSTAD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46216</v>
      </c>
      <c r="F154" t="inlineStr">
        <is>
          <t>VÄSTRA GÖTALANDS LÄN</t>
        </is>
      </c>
      <c r="G154" t="inlineStr">
        <is>
          <t>STRÖMSTAD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48688-2025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46216</v>
      </c>
      <c r="F155" t="inlineStr">
        <is>
          <t>VÄSTRA GÖTALANDS LÄN</t>
        </is>
      </c>
      <c r="G155" t="inlineStr">
        <is>
          <t>STRÖMSTAD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8047-2024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46216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13109-2023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46216</v>
      </c>
      <c r="F157" t="inlineStr">
        <is>
          <t>VÄSTRA GÖTALANDS LÄN</t>
        </is>
      </c>
      <c r="G157" t="inlineStr">
        <is>
          <t>STRÖMSTAD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21333-2024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46216</v>
      </c>
      <c r="F158" t="inlineStr">
        <is>
          <t>VÄSTRA GÖTALANDS LÄN</t>
        </is>
      </c>
      <c r="G158" t="inlineStr">
        <is>
          <t>STRÖMSTAD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29192-2024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45482</v>
      </c>
      <c r="E159" s="1" t="n">
        <v>46216</v>
      </c>
      <c r="F159" t="inlineStr">
        <is>
          <t>VÄSTRA GÖTALANDS LÄN</t>
        </is>
      </c>
      <c r="G159" t="inlineStr">
        <is>
          <t>STRÖMSTAD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67875-2021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44525</v>
      </c>
      <c r="E160" s="1" t="n">
        <v>46216</v>
      </c>
      <c r="F160" t="inlineStr">
        <is>
          <t>VÄSTRA GÖTALANDS LÄN</t>
        </is>
      </c>
      <c r="G160" t="inlineStr">
        <is>
          <t>STRÖMSTAD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46216</v>
      </c>
      <c r="F161" t="inlineStr">
        <is>
          <t>VÄSTRA GÖTALANDS LÄN</t>
        </is>
      </c>
      <c r="G161" t="inlineStr">
        <is>
          <t>STRÖMSTAD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45876</v>
      </c>
      <c r="E162" s="1" t="n">
        <v>46216</v>
      </c>
      <c r="F162" t="inlineStr">
        <is>
          <t>VÄSTRA GÖTALANDS LÄN</t>
        </is>
      </c>
      <c r="G162" t="inlineStr">
        <is>
          <t>STRÖMSTAD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56196-2025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46216</v>
      </c>
      <c r="F163" t="inlineStr">
        <is>
          <t>VÄSTRA GÖTALANDS LÄN</t>
        </is>
      </c>
      <c r="G163" t="inlineStr">
        <is>
          <t>STRÖMSTAD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46216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38983-2024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46216</v>
      </c>
      <c r="F165" t="inlineStr">
        <is>
          <t>VÄSTRA GÖTALANDS LÄN</t>
        </is>
      </c>
      <c r="G165" t="inlineStr">
        <is>
          <t>STRÖMSTAD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21355-2026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46142</v>
      </c>
      <c r="E166" s="1" t="n">
        <v>46216</v>
      </c>
      <c r="F166" t="inlineStr">
        <is>
          <t>VÄSTRA GÖTALANDS LÄN</t>
        </is>
      </c>
      <c r="G166" t="inlineStr">
        <is>
          <t>STRÖMSTAD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29327-2024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45483</v>
      </c>
      <c r="E167" s="1" t="n">
        <v>46216</v>
      </c>
      <c r="F167" t="inlineStr">
        <is>
          <t>VÄSTRA GÖTALANDS LÄN</t>
        </is>
      </c>
      <c r="G167" t="inlineStr">
        <is>
          <t>STRÖMSTAD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56602-2023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46216</v>
      </c>
      <c r="F168" t="inlineStr">
        <is>
          <t>VÄSTRA GÖTALANDS LÄN</t>
        </is>
      </c>
      <c r="G168" t="inlineStr">
        <is>
          <t>STRÖMSTAD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41072-2023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46216</v>
      </c>
      <c r="F169" t="inlineStr">
        <is>
          <t>VÄSTRA GÖTALANDS LÄN</t>
        </is>
      </c>
      <c r="G169" t="inlineStr">
        <is>
          <t>STRÖMSTAD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21755-2026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46216</v>
      </c>
      <c r="F170" t="inlineStr">
        <is>
          <t>VÄSTRA GÖTALANDS LÄN</t>
        </is>
      </c>
      <c r="G170" t="inlineStr">
        <is>
          <t>STRÖMSTAD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45318</v>
      </c>
      <c r="E171" s="1" t="n">
        <v>46216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Kommuner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21819-2026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46150</v>
      </c>
      <c r="E172" s="1" t="n">
        <v>46216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21826-2026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46216</v>
      </c>
      <c r="F173" t="inlineStr">
        <is>
          <t>VÄSTRA GÖTALANDS LÄN</t>
        </is>
      </c>
      <c r="G173" t="inlineStr">
        <is>
          <t>STRÖMSTAD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20968-2023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46216</v>
      </c>
      <c r="F174" t="inlineStr">
        <is>
          <t>VÄSTRA GÖTALANDS LÄN</t>
        </is>
      </c>
      <c r="G174" t="inlineStr">
        <is>
          <t>STRÖMSTAD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21828-2026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46216</v>
      </c>
      <c r="F175" t="inlineStr">
        <is>
          <t>VÄSTRA GÖTALANDS LÄN</t>
        </is>
      </c>
      <c r="G175" t="inlineStr">
        <is>
          <t>STRÖMSTAD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21839-2026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46216</v>
      </c>
      <c r="F176" t="inlineStr">
        <is>
          <t>VÄSTRA GÖTALANDS LÄN</t>
        </is>
      </c>
      <c r="G176" t="inlineStr">
        <is>
          <t>STRÖMSTAD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21833-2026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46216</v>
      </c>
      <c r="F177" t="inlineStr">
        <is>
          <t>VÄSTRA GÖTALANDS LÄN</t>
        </is>
      </c>
      <c r="G177" t="inlineStr">
        <is>
          <t>STRÖMSTAD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22560-2023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46216</v>
      </c>
      <c r="F178" t="inlineStr">
        <is>
          <t>VÄSTRA GÖTALANDS LÄN</t>
        </is>
      </c>
      <c r="G178" t="inlineStr">
        <is>
          <t>STRÖMSTAD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46216</v>
      </c>
      <c r="F179" t="inlineStr">
        <is>
          <t>VÄSTRA GÖTALANDS LÄN</t>
        </is>
      </c>
      <c r="G179" t="inlineStr">
        <is>
          <t>STRÖMSTAD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46196</v>
      </c>
      <c r="E180" s="1" t="n">
        <v>46216</v>
      </c>
      <c r="F180" t="inlineStr">
        <is>
          <t>VÄSTRA GÖTALANDS LÄN</t>
        </is>
      </c>
      <c r="G180" t="inlineStr">
        <is>
          <t>STRÖMSTAD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22321-2026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46216</v>
      </c>
      <c r="F181" t="inlineStr">
        <is>
          <t>VÄSTRA GÖTALANDS LÄN</t>
        </is>
      </c>
      <c r="G181" t="inlineStr">
        <is>
          <t>STRÖMSTAD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22320-2026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46216</v>
      </c>
      <c r="F182" t="inlineStr">
        <is>
          <t>VÄSTRA GÖTALANDS LÄN</t>
        </is>
      </c>
      <c r="G182" t="inlineStr">
        <is>
          <t>STRÖMSTAD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45578-2024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46216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22693-2026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46156</v>
      </c>
      <c r="E184" s="1" t="n">
        <v>46216</v>
      </c>
      <c r="F184" t="inlineStr">
        <is>
          <t>VÄSTRA GÖTALANDS LÄN</t>
        </is>
      </c>
      <c r="G184" t="inlineStr">
        <is>
          <t>STRÖMSTAD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61249-2024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46216</v>
      </c>
      <c r="F185" t="inlineStr">
        <is>
          <t>VÄSTRA GÖTALANDS LÄN</t>
        </is>
      </c>
      <c r="G185" t="inlineStr">
        <is>
          <t>STRÖMSTAD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23027-2026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46216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38818-2024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46216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29587-2026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46204</v>
      </c>
      <c r="E188" s="1" t="n">
        <v>46216</v>
      </c>
      <c r="F188" t="inlineStr">
        <is>
          <t>VÄSTRA GÖTALANDS LÄN</t>
        </is>
      </c>
      <c r="G188" t="inlineStr">
        <is>
          <t>STRÖMSTAD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45632-2024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46216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Kyrkan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46216</v>
      </c>
      <c r="F190" t="inlineStr">
        <is>
          <t>VÄSTRA GÖTALANDS LÄN</t>
        </is>
      </c>
      <c r="G190" t="inlineStr">
        <is>
          <t>STRÖMSTAD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46216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45301</v>
      </c>
      <c r="E192" s="1" t="n">
        <v>46216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46216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13325-2022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46216</v>
      </c>
      <c r="F194" t="inlineStr">
        <is>
          <t>VÄSTRA GÖTALANDS LÄN</t>
        </is>
      </c>
      <c r="G194" t="inlineStr">
        <is>
          <t>STRÖMSTAD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46216</v>
      </c>
      <c r="F195" t="inlineStr">
        <is>
          <t>VÄSTRA GÖTALANDS LÄN</t>
        </is>
      </c>
      <c r="G195" t="inlineStr">
        <is>
          <t>STRÖMSTAD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56677-2023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46216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56130-2022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44886</v>
      </c>
      <c r="E197" s="1" t="n">
        <v>46216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21061-2022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46216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54374-2022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46216</v>
      </c>
      <c r="F199" t="inlineStr">
        <is>
          <t>VÄSTRA GÖTALANDS LÄN</t>
        </is>
      </c>
      <c r="G199" t="inlineStr">
        <is>
          <t>STRÖMSTAD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15695-2025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46216</v>
      </c>
      <c r="F200" t="inlineStr">
        <is>
          <t>VÄSTRA GÖTALANDS LÄN</t>
        </is>
      </c>
      <c r="G200" t="inlineStr">
        <is>
          <t>STRÖMSTAD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49551-2024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45596</v>
      </c>
      <c r="E201" s="1" t="n">
        <v>46216</v>
      </c>
      <c r="F201" t="inlineStr">
        <is>
          <t>VÄSTRA GÖTALANDS LÄN</t>
        </is>
      </c>
      <c r="G201" t="inlineStr">
        <is>
          <t>STRÖMSTAD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46216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11931-2025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46216</v>
      </c>
      <c r="F203" t="inlineStr">
        <is>
          <t>VÄSTRA GÖTALANDS LÄN</t>
        </is>
      </c>
      <c r="G203" t="inlineStr">
        <is>
          <t>STRÖMSTAD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46216</v>
      </c>
      <c r="F204" t="inlineStr">
        <is>
          <t>VÄSTRA GÖTALANDS LÄN</t>
        </is>
      </c>
      <c r="G204" t="inlineStr">
        <is>
          <t>STRÖMSTAD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9695-2025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46216</v>
      </c>
      <c r="F205" t="inlineStr">
        <is>
          <t>VÄSTRA GÖTALANDS LÄN</t>
        </is>
      </c>
      <c r="G205" t="inlineStr">
        <is>
          <t>STRÖMSTAD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14079-2025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46216</v>
      </c>
      <c r="F206" t="inlineStr">
        <is>
          <t>VÄSTRA GÖTALANDS LÄN</t>
        </is>
      </c>
      <c r="G206" t="inlineStr">
        <is>
          <t>STRÖMSTAD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46216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46216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46216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46216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2026-07-13T14:52:39Z</dcterms:created>
  <dcterms:modified xmlns:dcterms="http://purl.org/dc/terms/" xmlns:xsi="http://www.w3.org/2001/XMLSchema-instance" xsi:type="dcterms:W3CDTF">2026-07-13T14:52:39Z</dcterms:modified>
</cp:coreProperties>
</file>