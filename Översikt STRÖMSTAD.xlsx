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46089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46089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46089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46089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9839-2026</t>
        </is>
      </c>
      <c r="B14" s="1" t="n">
        <v>46072</v>
      </c>
      <c r="C14" s="1" t="n">
        <v>46089</v>
      </c>
      <c r="D14" t="inlineStr">
        <is>
          <t>VÄSTRA GÖTALANDS LÄN</t>
        </is>
      </c>
      <c r="E14" t="inlineStr">
        <is>
          <t>STRÖMSTAD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HYPERLINK("https://klasma.github.io/Logging_1486/artfynd/A 9839-2026 artfynd.xlsx", "A 9839-2026")</f>
        <v/>
      </c>
      <c r="T14">
        <f>HYPERLINK("https://klasma.github.io/Logging_1486/kartor/A 9839-2026 karta.png", "A 9839-2026")</f>
        <v/>
      </c>
      <c r="V14">
        <f>HYPERLINK("https://klasma.github.io/Logging_1486/klagomål/A 9839-2026 FSC-klagomål.docx", "A 9839-2026")</f>
        <v/>
      </c>
      <c r="W14">
        <f>HYPERLINK("https://klasma.github.io/Logging_1486/klagomålsmail/A 9839-2026 FSC-klagomål mail.docx", "A 9839-2026")</f>
        <v/>
      </c>
      <c r="X14">
        <f>HYPERLINK("https://klasma.github.io/Logging_1486/tillsyn/A 9839-2026 tillsynsbegäran.docx", "A 9839-2026")</f>
        <v/>
      </c>
      <c r="Y14">
        <f>HYPERLINK("https://klasma.github.io/Logging_1486/tillsynsmail/A 9839-2026 tillsynsbegäran mail.docx", "A 9839-2026")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46089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59406-2024</t>
        </is>
      </c>
      <c r="B16" s="1" t="n">
        <v>45638.38912037037</v>
      </c>
      <c r="C16" s="1" t="n">
        <v>46089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11.9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Hasselsnok
Sandödla</t>
        </is>
      </c>
      <c r="S16">
        <f>HYPERLINK("https://klasma.github.io/Logging_1486/artfynd/A 59406-2024 artfynd.xlsx", "A 59406-2024")</f>
        <v/>
      </c>
      <c r="T16">
        <f>HYPERLINK("https://klasma.github.io/Logging_1486/kartor/A 59406-2024 karta.png", "A 59406-2024")</f>
        <v/>
      </c>
      <c r="V16">
        <f>HYPERLINK("https://klasma.github.io/Logging_1486/klagomål/A 59406-2024 FSC-klagomål.docx", "A 59406-2024")</f>
        <v/>
      </c>
      <c r="W16">
        <f>HYPERLINK("https://klasma.github.io/Logging_1486/klagomålsmail/A 59406-2024 FSC-klagomål mail.docx", "A 59406-2024")</f>
        <v/>
      </c>
      <c r="X16">
        <f>HYPERLINK("https://klasma.github.io/Logging_1486/tillsyn/A 59406-2024 tillsynsbegäran.docx", "A 59406-2024")</f>
        <v/>
      </c>
      <c r="Y16">
        <f>HYPERLINK("https://klasma.github.io/Logging_1486/tillsynsmail/A 59406-2024 tillsynsbegäran mail.docx", "A 59406-2024")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46089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46089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46089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46089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46089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46089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46089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46089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46089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46089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46089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46089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46089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46089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46089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46089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46089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46089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46089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46089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46089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46089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46089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46089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46089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46089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46089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46089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46089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46089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46089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46089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46089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46089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46089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46089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46089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3178-2024</t>
        </is>
      </c>
      <c r="B56" s="1" t="n">
        <v>45316</v>
      </c>
      <c r="C56" s="1" t="n">
        <v>46089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52262-2023</t>
        </is>
      </c>
      <c r="B57" s="1" t="n">
        <v>45217</v>
      </c>
      <c r="C57" s="1" t="n">
        <v>46089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12945-2024</t>
        </is>
      </c>
      <c r="B58" s="1" t="n">
        <v>45385.47545138889</v>
      </c>
      <c r="C58" s="1" t="n">
        <v>46089</v>
      </c>
      <c r="D58" t="inlineStr">
        <is>
          <t>VÄSTRA GÖTALANDS LÄN</t>
        </is>
      </c>
      <c r="E58" t="inlineStr">
        <is>
          <t>STRÖMSTAD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46089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46089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55712-2022</t>
        </is>
      </c>
      <c r="B61" s="1" t="n">
        <v>44885</v>
      </c>
      <c r="C61" s="1" t="n">
        <v>46089</v>
      </c>
      <c r="D61" t="inlineStr">
        <is>
          <t>VÄSTRA GÖTALANDS LÄN</t>
        </is>
      </c>
      <c r="E61" t="inlineStr">
        <is>
          <t>STRÖMSTAD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10470-2024</t>
        </is>
      </c>
      <c r="B62" s="1" t="n">
        <v>45366.38853009259</v>
      </c>
      <c r="C62" s="1" t="n">
        <v>46089</v>
      </c>
      <c r="D62" t="inlineStr">
        <is>
          <t>VÄSTRA GÖTALANDS LÄN</t>
        </is>
      </c>
      <c r="E62" t="inlineStr">
        <is>
          <t>STRÖMSTAD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19492-2021</t>
        </is>
      </c>
      <c r="B63" s="1" t="n">
        <v>44312</v>
      </c>
      <c r="C63" s="1" t="n">
        <v>46089</v>
      </c>
      <c r="D63" t="inlineStr">
        <is>
          <t>VÄSTRA GÖTALANDS LÄN</t>
        </is>
      </c>
      <c r="E63" t="inlineStr">
        <is>
          <t>STRÖMSTAD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46089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46089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6379-2026</t>
        </is>
      </c>
      <c r="B66" s="1" t="n">
        <v>46055</v>
      </c>
      <c r="C66" s="1" t="n">
        <v>46089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29329-2024</t>
        </is>
      </c>
      <c r="B67" s="1" t="n">
        <v>45483.44387731481</v>
      </c>
      <c r="C67" s="1" t="n">
        <v>46089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7448-2026</t>
        </is>
      </c>
      <c r="B68" s="1" t="n">
        <v>46059.46386574074</v>
      </c>
      <c r="C68" s="1" t="n">
        <v>46089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46089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7545-2026</t>
        </is>
      </c>
      <c r="B70" s="1" t="n">
        <v>46059.65075231482</v>
      </c>
      <c r="C70" s="1" t="n">
        <v>46089</v>
      </c>
      <c r="D70" t="inlineStr">
        <is>
          <t>VÄSTRA GÖTALANDS LÄN</t>
        </is>
      </c>
      <c r="E70" t="inlineStr">
        <is>
          <t>STRÖMSTAD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39001-2024</t>
        </is>
      </c>
      <c r="B71" s="1" t="n">
        <v>45548.42012731481</v>
      </c>
      <c r="C71" s="1" t="n">
        <v>46089</v>
      </c>
      <c r="D71" t="inlineStr">
        <is>
          <t>VÄSTRA GÖTALANDS LÄN</t>
        </is>
      </c>
      <c r="E71" t="inlineStr">
        <is>
          <t>STRÖMSTAD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24348-2025</t>
        </is>
      </c>
      <c r="B72" s="1" t="n">
        <v>45797</v>
      </c>
      <c r="C72" s="1" t="n">
        <v>46089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46089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49554-2024</t>
        </is>
      </c>
      <c r="B74" s="1" t="n">
        <v>45596.4672337963</v>
      </c>
      <c r="C74" s="1" t="n">
        <v>46089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18043-2021</t>
        </is>
      </c>
      <c r="B75" s="1" t="n">
        <v>44301</v>
      </c>
      <c r="C75" s="1" t="n">
        <v>46089</v>
      </c>
      <c r="D75" t="inlineStr">
        <is>
          <t>VÄSTRA GÖTALANDS LÄN</t>
        </is>
      </c>
      <c r="E75" t="inlineStr">
        <is>
          <t>STRÖMSTAD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46089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46089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46089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46089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26270-2025</t>
        </is>
      </c>
      <c r="B80" s="1" t="n">
        <v>45805.59357638889</v>
      </c>
      <c r="C80" s="1" t="n">
        <v>46089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46089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46089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13890-2022</t>
        </is>
      </c>
      <c r="B83" s="1" t="n">
        <v>44649</v>
      </c>
      <c r="C83" s="1" t="n">
        <v>46089</v>
      </c>
      <c r="D83" t="inlineStr">
        <is>
          <t>VÄSTRA GÖTALANDS LÄN</t>
        </is>
      </c>
      <c r="E83" t="inlineStr">
        <is>
          <t>STRÖMSTAD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46089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40652-2024</t>
        </is>
      </c>
      <c r="B85" s="1" t="n">
        <v>45557</v>
      </c>
      <c r="C85" s="1" t="n">
        <v>46089</v>
      </c>
      <c r="D85" t="inlineStr">
        <is>
          <t>VÄSTRA GÖTALANDS LÄN</t>
        </is>
      </c>
      <c r="E85" t="inlineStr">
        <is>
          <t>STRÖMSTAD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44529-2023</t>
        </is>
      </c>
      <c r="B86" s="1" t="n">
        <v>45189</v>
      </c>
      <c r="C86" s="1" t="n">
        <v>46089</v>
      </c>
      <c r="D86" t="inlineStr">
        <is>
          <t>VÄSTRA GÖTALANDS LÄN</t>
        </is>
      </c>
      <c r="E86" t="inlineStr">
        <is>
          <t>STRÖMSTAD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57989-2022</t>
        </is>
      </c>
      <c r="B87" s="1" t="n">
        <v>44892</v>
      </c>
      <c r="C87" s="1" t="n">
        <v>46089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16216-2025</t>
        </is>
      </c>
      <c r="B88" s="1" t="n">
        <v>45750.63079861111</v>
      </c>
      <c r="C88" s="1" t="n">
        <v>46089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55733-2023</t>
        </is>
      </c>
      <c r="B89" s="1" t="n">
        <v>45232</v>
      </c>
      <c r="C89" s="1" t="n">
        <v>46089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35113-2021</t>
        </is>
      </c>
      <c r="B90" s="1" t="n">
        <v>44384.37240740741</v>
      </c>
      <c r="C90" s="1" t="n">
        <v>46089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42823-2025</t>
        </is>
      </c>
      <c r="B91" s="1" t="n">
        <v>45908.57429398148</v>
      </c>
      <c r="C91" s="1" t="n">
        <v>46089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42239-2024</t>
        </is>
      </c>
      <c r="B92" s="1" t="n">
        <v>45562.56358796296</v>
      </c>
      <c r="C92" s="1" t="n">
        <v>46089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42736-2025</t>
        </is>
      </c>
      <c r="B93" s="1" t="n">
        <v>45908</v>
      </c>
      <c r="C93" s="1" t="n">
        <v>46089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46089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46089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29308-2025</t>
        </is>
      </c>
      <c r="B96" s="1" t="n">
        <v>45824.46103009259</v>
      </c>
      <c r="C96" s="1" t="n">
        <v>46089</v>
      </c>
      <c r="D96" t="inlineStr">
        <is>
          <t>VÄSTRA GÖTALANDS LÄN</t>
        </is>
      </c>
      <c r="E96" t="inlineStr">
        <is>
          <t>STRÖMSTAD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52852-2024</t>
        </is>
      </c>
      <c r="B97" s="1" t="n">
        <v>45610.60664351852</v>
      </c>
      <c r="C97" s="1" t="n">
        <v>46089</v>
      </c>
      <c r="D97" t="inlineStr">
        <is>
          <t>VÄSTRA GÖTALANDS LÄN</t>
        </is>
      </c>
      <c r="E97" t="inlineStr">
        <is>
          <t>STRÖMSTAD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29300-2025</t>
        </is>
      </c>
      <c r="B98" s="1" t="n">
        <v>45824.45552083333</v>
      </c>
      <c r="C98" s="1" t="n">
        <v>46089</v>
      </c>
      <c r="D98" t="inlineStr">
        <is>
          <t>VÄSTRA GÖTALANDS LÄN</t>
        </is>
      </c>
      <c r="E98" t="inlineStr">
        <is>
          <t>STRÖMSTAD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25884-2023</t>
        </is>
      </c>
      <c r="B99" s="1" t="n">
        <v>45085</v>
      </c>
      <c r="C99" s="1" t="n">
        <v>46089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44319-2025</t>
        </is>
      </c>
      <c r="B100" s="1" t="n">
        <v>45916</v>
      </c>
      <c r="C100" s="1" t="n">
        <v>46089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50603-2024</t>
        </is>
      </c>
      <c r="B101" s="1" t="n">
        <v>45600</v>
      </c>
      <c r="C101" s="1" t="n">
        <v>46089</v>
      </c>
      <c r="D101" t="inlineStr">
        <is>
          <t>VÄSTRA GÖTALANDS LÄN</t>
        </is>
      </c>
      <c r="E101" t="inlineStr">
        <is>
          <t>STRÖMSTAD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45540-2025</t>
        </is>
      </c>
      <c r="B102" s="1" t="n">
        <v>45922.61466435185</v>
      </c>
      <c r="C102" s="1" t="n">
        <v>46089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46089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46089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46907-2025</t>
        </is>
      </c>
      <c r="B105" s="1" t="n">
        <v>45929.40480324074</v>
      </c>
      <c r="C105" s="1" t="n">
        <v>46089</v>
      </c>
      <c r="D105" t="inlineStr">
        <is>
          <t>VÄSTRA GÖTALANDS LÄN</t>
        </is>
      </c>
      <c r="E105" t="inlineStr">
        <is>
          <t>STRÖMSTAD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46089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33566-2025</t>
        </is>
      </c>
      <c r="B107" s="1" t="n">
        <v>45841.58208333333</v>
      </c>
      <c r="C107" s="1" t="n">
        <v>46089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33560-2025</t>
        </is>
      </c>
      <c r="B108" s="1" t="n">
        <v>45841.57739583333</v>
      </c>
      <c r="C108" s="1" t="n">
        <v>46089</v>
      </c>
      <c r="D108" t="inlineStr">
        <is>
          <t>VÄSTRA GÖTALANDS LÄN</t>
        </is>
      </c>
      <c r="E108" t="inlineStr">
        <is>
          <t>STRÖMSTAD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33564-2025</t>
        </is>
      </c>
      <c r="B109" s="1" t="n">
        <v>45841.57973379629</v>
      </c>
      <c r="C109" s="1" t="n">
        <v>46089</v>
      </c>
      <c r="D109" t="inlineStr">
        <is>
          <t>VÄSTRA GÖTALANDS LÄN</t>
        </is>
      </c>
      <c r="E109" t="inlineStr">
        <is>
          <t>STRÖMSTAD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33569-2025</t>
        </is>
      </c>
      <c r="B110" s="1" t="n">
        <v>45841.58334490741</v>
      </c>
      <c r="C110" s="1" t="n">
        <v>46089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33586-2025</t>
        </is>
      </c>
      <c r="B111" s="1" t="n">
        <v>45841.59465277778</v>
      </c>
      <c r="C111" s="1" t="n">
        <v>46089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33555-2025</t>
        </is>
      </c>
      <c r="B112" s="1" t="n">
        <v>45841.57423611111</v>
      </c>
      <c r="C112" s="1" t="n">
        <v>46089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15667-2024</t>
        </is>
      </c>
      <c r="B113" s="1" t="n">
        <v>45404</v>
      </c>
      <c r="C113" s="1" t="n">
        <v>46089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33536-2025</t>
        </is>
      </c>
      <c r="B114" s="1" t="n">
        <v>45841.55890046297</v>
      </c>
      <c r="C114" s="1" t="n">
        <v>46089</v>
      </c>
      <c r="D114" t="inlineStr">
        <is>
          <t>VÄSTRA GÖTALANDS LÄN</t>
        </is>
      </c>
      <c r="E114" t="inlineStr">
        <is>
          <t>STRÖMSTAD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33580-2025</t>
        </is>
      </c>
      <c r="B115" s="1" t="n">
        <v>45841.59407407408</v>
      </c>
      <c r="C115" s="1" t="n">
        <v>46089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50401-2021</t>
        </is>
      </c>
      <c r="B116" s="1" t="n">
        <v>44459</v>
      </c>
      <c r="C116" s="1" t="n">
        <v>46089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46089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56024-2023</t>
        </is>
      </c>
      <c r="B118" s="1" t="n">
        <v>45240</v>
      </c>
      <c r="C118" s="1" t="n">
        <v>46089</v>
      </c>
      <c r="D118" t="inlineStr">
        <is>
          <t>VÄSTRA GÖTALANDS LÄN</t>
        </is>
      </c>
      <c r="E118" t="inlineStr">
        <is>
          <t>STRÖMSTAD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47882-2025</t>
        </is>
      </c>
      <c r="B119" s="1" t="n">
        <v>45932.46203703704</v>
      </c>
      <c r="C119" s="1" t="n">
        <v>46089</v>
      </c>
      <c r="D119" t="inlineStr">
        <is>
          <t>VÄSTRA GÖTALANDS LÄN</t>
        </is>
      </c>
      <c r="E119" t="inlineStr">
        <is>
          <t>STRÖMSTAD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50601-2024</t>
        </is>
      </c>
      <c r="B120" s="1" t="n">
        <v>45600</v>
      </c>
      <c r="C120" s="1" t="n">
        <v>46089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48688-2025</t>
        </is>
      </c>
      <c r="B121" s="1" t="n">
        <v>45936.60555555556</v>
      </c>
      <c r="C121" s="1" t="n">
        <v>46089</v>
      </c>
      <c r="D121" t="inlineStr">
        <is>
          <t>VÄSTRA GÖTALANDS LÄN</t>
        </is>
      </c>
      <c r="E121" t="inlineStr">
        <is>
          <t>STRÖMSTAD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41991-2022</t>
        </is>
      </c>
      <c r="B122" s="1" t="n">
        <v>44830.44231481481</v>
      </c>
      <c r="C122" s="1" t="n">
        <v>46089</v>
      </c>
      <c r="D122" t="inlineStr">
        <is>
          <t>VÄSTRA GÖTALANDS LÄN</t>
        </is>
      </c>
      <c r="E122" t="inlineStr">
        <is>
          <t>STRÖMSTAD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64707-2023</t>
        </is>
      </c>
      <c r="B123" s="1" t="n">
        <v>45281</v>
      </c>
      <c r="C123" s="1" t="n">
        <v>46089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HYPERLINK("https://klasma.github.io/Logging_1486/knärot/A 64707-2023 karta knärot.png", "A 64707-2023")</f>
        <v/>
      </c>
      <c r="V123">
        <f>HYPERLINK("https://klasma.github.io/Logging_1486/klagomål/A 64707-2023 FSC-klagomål.docx", "A 64707-2023")</f>
        <v/>
      </c>
      <c r="W123">
        <f>HYPERLINK("https://klasma.github.io/Logging_1486/klagomålsmail/A 64707-2023 FSC-klagomål mail.docx", "A 64707-2023")</f>
        <v/>
      </c>
      <c r="X123">
        <f>HYPERLINK("https://klasma.github.io/Logging_1486/tillsyn/A 64707-2023 tillsynsbegäran.docx", "A 64707-2023")</f>
        <v/>
      </c>
      <c r="Y123">
        <f>HYPERLINK("https://klasma.github.io/Logging_1486/tillsynsmail/A 64707-2023 tillsynsbegäran mail.docx", "A 64707-2023")</f>
        <v/>
      </c>
    </row>
    <row r="124" ht="15" customHeight="1">
      <c r="A124" t="inlineStr">
        <is>
          <t>A 3187-2024</t>
        </is>
      </c>
      <c r="B124" s="1" t="n">
        <v>45316.65596064815</v>
      </c>
      <c r="C124" s="1" t="n">
        <v>46089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880-2026</t>
        </is>
      </c>
      <c r="B125" s="1" t="n">
        <v>46029</v>
      </c>
      <c r="C125" s="1" t="n">
        <v>46089</v>
      </c>
      <c r="D125" t="inlineStr">
        <is>
          <t>VÄSTRA GÖTALANDS LÄN</t>
        </is>
      </c>
      <c r="E125" t="inlineStr">
        <is>
          <t>STRÖMSTAD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50057-2025</t>
        </is>
      </c>
      <c r="B126" s="1" t="n">
        <v>45942</v>
      </c>
      <c r="C126" s="1" t="n">
        <v>46089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50626-2025</t>
        </is>
      </c>
      <c r="B127" s="1" t="n">
        <v>45945.63623842593</v>
      </c>
      <c r="C127" s="1" t="n">
        <v>46089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Övriga Aktiebolag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46089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50579-2025</t>
        </is>
      </c>
      <c r="B129" s="1" t="n">
        <v>45945.58449074074</v>
      </c>
      <c r="C129" s="1" t="n">
        <v>46089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50589-2025</t>
        </is>
      </c>
      <c r="B130" s="1" t="n">
        <v>45945.600625</v>
      </c>
      <c r="C130" s="1" t="n">
        <v>46089</v>
      </c>
      <c r="D130" t="inlineStr">
        <is>
          <t>VÄSTRA GÖTALANDS LÄN</t>
        </is>
      </c>
      <c r="E130" t="inlineStr">
        <is>
          <t>STRÖMSTAD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50606-2025</t>
        </is>
      </c>
      <c r="B131" s="1" t="n">
        <v>45945.6171412037</v>
      </c>
      <c r="C131" s="1" t="n">
        <v>46089</v>
      </c>
      <c r="D131" t="inlineStr">
        <is>
          <t>VÄSTRA GÖTALANDS LÄN</t>
        </is>
      </c>
      <c r="E131" t="inlineStr">
        <is>
          <t>STRÖMSTAD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50607-2025</t>
        </is>
      </c>
      <c r="B132" s="1" t="n">
        <v>45945.61997685185</v>
      </c>
      <c r="C132" s="1" t="n">
        <v>46089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50578-2025</t>
        </is>
      </c>
      <c r="B133" s="1" t="n">
        <v>45945.58215277778</v>
      </c>
      <c r="C133" s="1" t="n">
        <v>46089</v>
      </c>
      <c r="D133" t="inlineStr">
        <is>
          <t>VÄSTRA GÖTALANDS LÄN</t>
        </is>
      </c>
      <c r="E133" t="inlineStr">
        <is>
          <t>STRÖMSTAD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46371-2022</t>
        </is>
      </c>
      <c r="B134" s="1" t="n">
        <v>44848</v>
      </c>
      <c r="C134" s="1" t="n">
        <v>46089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46089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33745-2023</t>
        </is>
      </c>
      <c r="B136" s="1" t="n">
        <v>45133.39075231482</v>
      </c>
      <c r="C136" s="1" t="n">
        <v>46089</v>
      </c>
      <c r="D136" t="inlineStr">
        <is>
          <t>VÄSTRA GÖTALANDS LÄN</t>
        </is>
      </c>
      <c r="E136" t="inlineStr">
        <is>
          <t>STRÖMSTAD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50797-2025</t>
        </is>
      </c>
      <c r="B137" s="1" t="n">
        <v>45946.48350694445</v>
      </c>
      <c r="C137" s="1" t="n">
        <v>46089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16223-2025</t>
        </is>
      </c>
      <c r="B138" s="1" t="n">
        <v>45750.63945601852</v>
      </c>
      <c r="C138" s="1" t="n">
        <v>46089</v>
      </c>
      <c r="D138" t="inlineStr">
        <is>
          <t>VÄSTRA GÖTALANDS LÄN</t>
        </is>
      </c>
      <c r="E138" t="inlineStr">
        <is>
          <t>STRÖMSTAD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46089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28430-2024</t>
        </is>
      </c>
      <c r="B140" s="1" t="n">
        <v>45477</v>
      </c>
      <c r="C140" s="1" t="n">
        <v>46089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51429-2025</t>
        </is>
      </c>
      <c r="B142" s="1" t="n">
        <v>45949</v>
      </c>
      <c r="C142" s="1" t="n">
        <v>46089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5326-2024</t>
        </is>
      </c>
      <c r="B143" s="1" t="n">
        <v>45331.41356481481</v>
      </c>
      <c r="C143" s="1" t="n">
        <v>46089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10764-2024</t>
        </is>
      </c>
      <c r="B144" s="1" t="n">
        <v>45369.56681712963</v>
      </c>
      <c r="C144" s="1" t="n">
        <v>46089</v>
      </c>
      <c r="D144" t="inlineStr">
        <is>
          <t>VÄSTRA GÖTALANDS LÄN</t>
        </is>
      </c>
      <c r="E144" t="inlineStr">
        <is>
          <t>STRÖMSTAD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46089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46089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17525-2025</t>
        </is>
      </c>
      <c r="B147" s="1" t="n">
        <v>45757.5817824074</v>
      </c>
      <c r="C147" s="1" t="n">
        <v>46089</v>
      </c>
      <c r="D147" t="inlineStr">
        <is>
          <t>VÄSTRA GÖTALANDS LÄN</t>
        </is>
      </c>
      <c r="E147" t="inlineStr">
        <is>
          <t>STRÖMSTAD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2982-2025</t>
        </is>
      </c>
      <c r="B148" s="1" t="n">
        <v>45678.51011574074</v>
      </c>
      <c r="C148" s="1" t="n">
        <v>46089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60768-2022</t>
        </is>
      </c>
      <c r="B149" s="1" t="n">
        <v>44907</v>
      </c>
      <c r="C149" s="1" t="n">
        <v>46089</v>
      </c>
      <c r="D149" t="inlineStr">
        <is>
          <t>VÄSTRA GÖTALANDS LÄN</t>
        </is>
      </c>
      <c r="E149" t="inlineStr">
        <is>
          <t>STRÖMSTAD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54126-2025</t>
        </is>
      </c>
      <c r="B150" s="1" t="n">
        <v>45964.45715277778</v>
      </c>
      <c r="C150" s="1" t="n">
        <v>46089</v>
      </c>
      <c r="D150" t="inlineStr">
        <is>
          <t>VÄSTRA GÖTALANDS LÄN</t>
        </is>
      </c>
      <c r="E150" t="inlineStr">
        <is>
          <t>STRÖMSTAD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20888-2022</t>
        </is>
      </c>
      <c r="B151" s="1" t="n">
        <v>44701</v>
      </c>
      <c r="C151" s="1" t="n">
        <v>46089</v>
      </c>
      <c r="D151" t="inlineStr">
        <is>
          <t>VÄSTRA GÖTALANDS LÄN</t>
        </is>
      </c>
      <c r="E151" t="inlineStr">
        <is>
          <t>STRÖMSTAD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18043-2021</t>
        </is>
      </c>
      <c r="B152" s="1" t="n">
        <v>44301</v>
      </c>
      <c r="C152" s="1" t="n">
        <v>46089</v>
      </c>
      <c r="D152" t="inlineStr">
        <is>
          <t>VÄSTRA GÖTALANDS LÄN</t>
        </is>
      </c>
      <c r="E152" t="inlineStr">
        <is>
          <t>STRÖMSTAD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1945-2026</t>
        </is>
      </c>
      <c r="B153" s="1" t="n">
        <v>46035.59709490741</v>
      </c>
      <c r="C153" s="1" t="n">
        <v>46089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46089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56196-2025</t>
        </is>
      </c>
      <c r="B155" s="1" t="n">
        <v>45974.45112268518</v>
      </c>
      <c r="C155" s="1" t="n">
        <v>46089</v>
      </c>
      <c r="D155" t="inlineStr">
        <is>
          <t>VÄSTRA GÖTALANDS LÄN</t>
        </is>
      </c>
      <c r="E155" t="inlineStr">
        <is>
          <t>STRÖMSTAD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56211-2025</t>
        </is>
      </c>
      <c r="B156" s="1" t="n">
        <v>45974.47729166667</v>
      </c>
      <c r="C156" s="1" t="n">
        <v>46089</v>
      </c>
      <c r="D156" t="inlineStr">
        <is>
          <t>VÄSTRA GÖTALANDS LÄN</t>
        </is>
      </c>
      <c r="E156" t="inlineStr">
        <is>
          <t>STRÖMSTAD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1608-2026</t>
        </is>
      </c>
      <c r="B157" s="1" t="n">
        <v>46034.46770833333</v>
      </c>
      <c r="C157" s="1" t="n">
        <v>46089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46089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45617-2024</t>
        </is>
      </c>
      <c r="B159" s="1" t="n">
        <v>45579.45523148148</v>
      </c>
      <c r="C159" s="1" t="n">
        <v>46089</v>
      </c>
      <c r="D159" t="inlineStr">
        <is>
          <t>VÄSTRA GÖTALANDS LÄN</t>
        </is>
      </c>
      <c r="E159" t="inlineStr">
        <is>
          <t>STRÖMSTAD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9648-2026</t>
        </is>
      </c>
      <c r="B160" s="1" t="n">
        <v>46072</v>
      </c>
      <c r="C160" s="1" t="n">
        <v>46089</v>
      </c>
      <c r="D160" t="inlineStr">
        <is>
          <t>VÄSTRA GÖTALANDS LÄN</t>
        </is>
      </c>
      <c r="E160" t="inlineStr">
        <is>
          <t>STRÖMSTAD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58226-2025</t>
        </is>
      </c>
      <c r="B161" s="1" t="n">
        <v>45985.37508101852</v>
      </c>
      <c r="C161" s="1" t="n">
        <v>46089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2322-2026</t>
        </is>
      </c>
      <c r="B162" s="1" t="n">
        <v>46036.60327546296</v>
      </c>
      <c r="C162" s="1" t="n">
        <v>46089</v>
      </c>
      <c r="D162" t="inlineStr">
        <is>
          <t>VÄSTRA GÖTALANDS LÄN</t>
        </is>
      </c>
      <c r="E162" t="inlineStr">
        <is>
          <t>STRÖMSTAD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2324-2026</t>
        </is>
      </c>
      <c r="B163" s="1" t="n">
        <v>46036.60572916667</v>
      </c>
      <c r="C163" s="1" t="n">
        <v>46089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9983-2022</t>
        </is>
      </c>
      <c r="B164" s="1" t="n">
        <v>44621.43550925926</v>
      </c>
      <c r="C164" s="1" t="n">
        <v>46089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10850-2026</t>
        </is>
      </c>
      <c r="B165" s="1" t="n">
        <v>46078</v>
      </c>
      <c r="C165" s="1" t="n">
        <v>46089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58251-2025</t>
        </is>
      </c>
      <c r="B166" s="1" t="n">
        <v>45985.39645833334</v>
      </c>
      <c r="C166" s="1" t="n">
        <v>46089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46089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24514-2024</t>
        </is>
      </c>
      <c r="B168" s="1" t="n">
        <v>45458</v>
      </c>
      <c r="C168" s="1" t="n">
        <v>46089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31388-2022</t>
        </is>
      </c>
      <c r="B169" s="1" t="n">
        <v>44774.62195601852</v>
      </c>
      <c r="C169" s="1" t="n">
        <v>46089</v>
      </c>
      <c r="D169" t="inlineStr">
        <is>
          <t>VÄSTRA GÖTALANDS LÄN</t>
        </is>
      </c>
      <c r="E169" t="inlineStr">
        <is>
          <t>STRÖMSTAD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29195-2024</t>
        </is>
      </c>
      <c r="B170" s="1" t="n">
        <v>45482</v>
      </c>
      <c r="C170" s="1" t="n">
        <v>46089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994-2024</t>
        </is>
      </c>
      <c r="B171" s="1" t="n">
        <v>45301.62427083333</v>
      </c>
      <c r="C171" s="1" t="n">
        <v>46089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59902-2025</t>
        </is>
      </c>
      <c r="B172" s="1" t="n">
        <v>45993.34480324074</v>
      </c>
      <c r="C172" s="1" t="n">
        <v>46089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46089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61413-2025</t>
        </is>
      </c>
      <c r="B174" s="1" t="n">
        <v>46000</v>
      </c>
      <c r="C174" s="1" t="n">
        <v>46089</v>
      </c>
      <c r="D174" t="inlineStr">
        <is>
          <t>VÄSTRA GÖTALANDS LÄN</t>
        </is>
      </c>
      <c r="E174" t="inlineStr">
        <is>
          <t>STRÖMSTAD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57663-2025</t>
        </is>
      </c>
      <c r="B175" s="1" t="n">
        <v>45981.42303240741</v>
      </c>
      <c r="C175" s="1" t="n">
        <v>46089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61898-2025</t>
        </is>
      </c>
      <c r="B176" s="1" t="n">
        <v>46003.46565972222</v>
      </c>
      <c r="C176" s="1" t="n">
        <v>46089</v>
      </c>
      <c r="D176" t="inlineStr">
        <is>
          <t>VÄSTRA GÖTALANDS LÄN</t>
        </is>
      </c>
      <c r="E176" t="inlineStr">
        <is>
          <t>STRÖMSTAD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10457-2023</t>
        </is>
      </c>
      <c r="B177" s="1" t="n">
        <v>44987</v>
      </c>
      <c r="C177" s="1" t="n">
        <v>46089</v>
      </c>
      <c r="D177" t="inlineStr">
        <is>
          <t>VÄSTRA GÖTALANDS LÄN</t>
        </is>
      </c>
      <c r="E177" t="inlineStr">
        <is>
          <t>STRÖMSTAD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50034-2022</t>
        </is>
      </c>
      <c r="B178" s="1" t="n">
        <v>44865.45782407407</v>
      </c>
      <c r="C178" s="1" t="n">
        <v>46089</v>
      </c>
      <c r="D178" t="inlineStr">
        <is>
          <t>VÄSTRA GÖTALANDS LÄN</t>
        </is>
      </c>
      <c r="E178" t="inlineStr">
        <is>
          <t>STRÖMSTAD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46089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7466-2026</t>
        </is>
      </c>
      <c r="B180" s="1" t="n">
        <v>46059.48324074074</v>
      </c>
      <c r="C180" s="1" t="n">
        <v>46089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46089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8060-2026</t>
        </is>
      </c>
      <c r="B182" s="1" t="n">
        <v>46063</v>
      </c>
      <c r="C182" s="1" t="n">
        <v>46089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8051-2026</t>
        </is>
      </c>
      <c r="B183" s="1" t="n">
        <v>46063</v>
      </c>
      <c r="C183" s="1" t="n">
        <v>46089</v>
      </c>
      <c r="D183" t="inlineStr">
        <is>
          <t>VÄSTRA GÖTALANDS LÄN</t>
        </is>
      </c>
      <c r="E183" t="inlineStr">
        <is>
          <t>STRÖMSTAD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8058-2026</t>
        </is>
      </c>
      <c r="B184" s="1" t="n">
        <v>46063</v>
      </c>
      <c r="C184" s="1" t="n">
        <v>46089</v>
      </c>
      <c r="D184" t="inlineStr">
        <is>
          <t>VÄSTRA GÖTALANDS LÄN</t>
        </is>
      </c>
      <c r="E184" t="inlineStr">
        <is>
          <t>STRÖMSTAD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46089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46089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15704-2025</t>
        </is>
      </c>
      <c r="B187" s="1" t="n">
        <v>45748.4815162037</v>
      </c>
      <c r="C187" s="1" t="n">
        <v>46089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72625-2021</t>
        </is>
      </c>
      <c r="B188" s="1" t="n">
        <v>44546.55005787037</v>
      </c>
      <c r="C188" s="1" t="n">
        <v>46089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19134-2025</t>
        </is>
      </c>
      <c r="B189" s="1" t="n">
        <v>45764</v>
      </c>
      <c r="C189" s="1" t="n">
        <v>46089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33118-2023</t>
        </is>
      </c>
      <c r="B190" s="1" t="n">
        <v>45126.59351851852</v>
      </c>
      <c r="C190" s="1" t="n">
        <v>46089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38988-2024</t>
        </is>
      </c>
      <c r="B191" s="1" t="n">
        <v>45548.40613425926</v>
      </c>
      <c r="C191" s="1" t="n">
        <v>46089</v>
      </c>
      <c r="D191" t="inlineStr">
        <is>
          <t>VÄSTRA GÖTALANDS LÄN</t>
        </is>
      </c>
      <c r="E191" t="inlineStr">
        <is>
          <t>STRÖMSTAD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60220-2022</t>
        </is>
      </c>
      <c r="B192" s="1" t="n">
        <v>44903</v>
      </c>
      <c r="C192" s="1" t="n">
        <v>46089</v>
      </c>
      <c r="D192" t="inlineStr">
        <is>
          <t>VÄSTRA GÖTALANDS LÄN</t>
        </is>
      </c>
      <c r="E192" t="inlineStr">
        <is>
          <t>STRÖMSTAD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11891-2025</t>
        </is>
      </c>
      <c r="B193" s="1" t="n">
        <v>45728.46309027778</v>
      </c>
      <c r="C193" s="1" t="n">
        <v>46089</v>
      </c>
      <c r="D193" t="inlineStr">
        <is>
          <t>VÄSTRA GÖTALANDS LÄN</t>
        </is>
      </c>
      <c r="E193" t="inlineStr">
        <is>
          <t>STRÖMSTAD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48071-2024</t>
        </is>
      </c>
      <c r="B194" s="1" t="n">
        <v>45589</v>
      </c>
      <c r="C194" s="1" t="n">
        <v>46089</v>
      </c>
      <c r="D194" t="inlineStr">
        <is>
          <t>VÄSTRA GÖTALANDS LÄN</t>
        </is>
      </c>
      <c r="E194" t="inlineStr">
        <is>
          <t>STRÖMSTAD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46089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46089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46089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44523-2023</t>
        </is>
      </c>
      <c r="B198" s="1" t="n">
        <v>45189.4774537037</v>
      </c>
      <c r="C198" s="1" t="n">
        <v>46089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59396-2024</t>
        </is>
      </c>
      <c r="B199" s="1" t="n">
        <v>45638.37623842592</v>
      </c>
      <c r="C199" s="1" t="n">
        <v>46089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46089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46089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46089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46089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46089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46089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46089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46089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46089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46089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46089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46089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46089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46089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46089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46089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46089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46089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46089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46089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46089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46089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46089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46089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46089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46089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46089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46089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46089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46089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46089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46089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46089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46089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46089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46089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46089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46089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46089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46089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46089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14079-2025</t>
        </is>
      </c>
      <c r="B241" s="1" t="n">
        <v>45739</v>
      </c>
      <c r="C241" s="1" t="n">
        <v>46089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2026-03-08T11:17:13Z</dcterms:created>
  <dcterms:modified xmlns:dcterms="http://purl.org/dc/terms/" xmlns:xsi="http://www.w3.org/2001/XMLSchema-instance" xsi:type="dcterms:W3CDTF">2026-03-08T11:17:13Z</dcterms:modified>
</cp:coreProperties>
</file>