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46295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46295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46295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46295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46295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46295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46295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46295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46295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46295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46295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46295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46295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46295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46295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46295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46295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46295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46295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12779-2025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46295</v>
      </c>
      <c r="F21" t="inlineStr">
        <is>
          <t>VÄSTRA GÖTALANDS LÄN</t>
        </is>
      </c>
      <c r="G21" t="inlineStr">
        <is>
          <t>STRÖMSTAD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HYPERLINK("https://klasma.github.io/Logging_1486/artfynd/A 12779-2025 artfynd.xlsx", "A 12779-2025")</f>
        <v/>
      </c>
      <c r="X21">
        <f>HYPERLINK("https://klasma.github.io/Logging_1486/kartor/A 12779-2025 karta.png", "A 12779-2025")</f>
        <v/>
      </c>
      <c r="Y21">
        <f>HYPERLINK("https://klasma.github.io/Logging_1486/kartor_geotiff/A 12779-2025 georefererad karta.tif", "A 12779-2025")</f>
        <v/>
      </c>
      <c r="AA21">
        <f>HYPERLINK("https://klasma.github.io/Logging_1486/klagomål/A 12779-2025 FSC-klagomål.docx", "A 12779-2025")</f>
        <v/>
      </c>
      <c r="AB21">
        <f>HYPERLINK("https://klasma.github.io/Logging_1486/klagomålsmail/A 12779-2025 FSC-klagomål mail.docx", "A 12779-2025")</f>
        <v/>
      </c>
      <c r="AC21">
        <f>HYPERLINK("https://klasma.github.io/Logging_1486/tillsyn/A 12779-2025 tillsynsbegäran.docx", "A 12779-2025")</f>
        <v/>
      </c>
      <c r="AD21">
        <f>HYPERLINK("https://klasma.github.io/Logging_1486/tillsynsmail/A 12779-2025 tillsynsbegäran mail.docx", "A 12779-2025")</f>
        <v/>
      </c>
      <c r="AE21">
        <f>HYPERLINK("https://klasma.github.io/Logging_1486/fåglar/A 12779-2025 prioriterade fågelarter.docx", "A 12779-2025")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46295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12238-2025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46295</v>
      </c>
      <c r="F23" t="inlineStr">
        <is>
          <t>VÄSTRA GÖTALANDS LÄN</t>
        </is>
      </c>
      <c r="G23" t="inlineStr">
        <is>
          <t>STRÖMSTAD</t>
        </is>
      </c>
      <c r="I23" t="n">
        <v>10.6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HYPERLINK("https://klasma.github.io/Logging_1486/artfynd/A 12238-2025 artfynd.xlsx", "A 12238-2025")</f>
        <v/>
      </c>
      <c r="X23">
        <f>HYPERLINK("https://klasma.github.io/Logging_1486/kartor/A 12238-2025 karta.png", "A 12238-2025")</f>
        <v/>
      </c>
      <c r="Y23">
        <f>HYPERLINK("https://klasma.github.io/Logging_1486/kartor_geotiff/A 12238-2025 georefererad karta.tif", "A 12238-2025")</f>
        <v/>
      </c>
      <c r="AA23">
        <f>HYPERLINK("https://klasma.github.io/Logging_1486/klagomål/A 12238-2025 FSC-klagomål.docx", "A 12238-2025")</f>
        <v/>
      </c>
      <c r="AB23">
        <f>HYPERLINK("https://klasma.github.io/Logging_1486/klagomålsmail/A 12238-2025 FSC-klagomål mail.docx", "A 12238-2025")</f>
        <v/>
      </c>
      <c r="AC23">
        <f>HYPERLINK("https://klasma.github.io/Logging_1486/tillsyn/A 12238-2025 tillsynsbegäran.docx", "A 12238-2025")</f>
        <v/>
      </c>
      <c r="AD23">
        <f>HYPERLINK("https://klasma.github.io/Logging_1486/tillsynsmail/A 12238-2025 tillsynsbegäran mail.docx", "A 12238-2025")</f>
        <v/>
      </c>
      <c r="AE23">
        <f>HYPERLINK("https://klasma.github.io/Logging_1486/fåglar/A 12238-2025 prioriterade fågelarter.docx", "A 12238-2025")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46295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Hasselsnok</t>
        </is>
      </c>
      <c r="W24">
        <f>HYPERLINK("https://klasma.github.io/Logging_1486/artfynd/A 14442-2026 artfynd.xlsx", "A 14442-2026")</f>
        <v/>
      </c>
      <c r="X24">
        <f>HYPERLINK("https://klasma.github.io/Logging_1486/kartor/A 14442-2026 karta.png", "A 14442-2026")</f>
        <v/>
      </c>
      <c r="Y24">
        <f>HYPERLINK("https://klasma.github.io/Logging_1486/kartor_geotiff/A 14442-2026 georefererad karta.tif", "A 14442-2026")</f>
        <v/>
      </c>
      <c r="AA24">
        <f>HYPERLINK("https://klasma.github.io/Logging_1486/klagomål/A 14442-2026 FSC-klagomål.docx", "A 14442-2026")</f>
        <v/>
      </c>
      <c r="AB24">
        <f>HYPERLINK("https://klasma.github.io/Logging_1486/klagomålsmail/A 14442-2026 FSC-klagomål mail.docx", "A 14442-2026")</f>
        <v/>
      </c>
      <c r="AC24">
        <f>HYPERLINK("https://klasma.github.io/Logging_1486/tillsyn/A 14442-2026 tillsynsbegäran.docx", "A 14442-2026")</f>
        <v/>
      </c>
      <c r="AD24">
        <f>HYPERLINK("https://klasma.github.io/Logging_1486/tillsynsmail/A 14442-2026 tillsynsbegäran mail.docx", "A 14442-2026")</f>
        <v/>
      </c>
    </row>
    <row r="25" ht="15" customHeight="1">
      <c r="A25" t="inlineStr">
        <is>
          <t>A 14455-2026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46295</v>
      </c>
      <c r="F25" t="inlineStr">
        <is>
          <t>VÄSTRA GÖTALANDS LÄN</t>
        </is>
      </c>
      <c r="G25" t="inlineStr">
        <is>
          <t>STRÖMSTAD</t>
        </is>
      </c>
      <c r="I25" t="n">
        <v>8.199999999999999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HYPERLINK("https://klasma.github.io/Logging_1486/artfynd/A 14455-2026 artfynd.xlsx", "A 14455-2026")</f>
        <v/>
      </c>
      <c r="X25">
        <f>HYPERLINK("https://klasma.github.io/Logging_1486/kartor/A 14455-2026 karta.png", "A 14455-2026")</f>
        <v/>
      </c>
      <c r="Y25">
        <f>HYPERLINK("https://klasma.github.io/Logging_1486/kartor_geotiff/A 14455-2026 georefererad karta.tif", "A 14455-2026")</f>
        <v/>
      </c>
      <c r="AA25">
        <f>HYPERLINK("https://klasma.github.io/Logging_1486/klagomål/A 14455-2026 FSC-klagomål.docx", "A 14455-2026")</f>
        <v/>
      </c>
      <c r="AB25">
        <f>HYPERLINK("https://klasma.github.io/Logging_1486/klagomålsmail/A 14455-2026 FSC-klagomål mail.docx", "A 14455-2026")</f>
        <v/>
      </c>
      <c r="AC25">
        <f>HYPERLINK("https://klasma.github.io/Logging_1486/tillsyn/A 14455-2026 tillsynsbegäran.docx", "A 14455-2026")</f>
        <v/>
      </c>
      <c r="AD25">
        <f>HYPERLINK("https://klasma.github.io/Logging_1486/tillsynsmail/A 14455-2026 tillsynsbegäran mail.docx", "A 14455-2026")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46295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46295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46295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46295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46295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46295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46295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46295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46295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46295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46295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46295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46295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46295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46295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46295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46295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46295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46295</v>
      </c>
      <c r="F44" t="inlineStr">
        <is>
          <t>VÄSTRA GÖTALANDS LÄN</t>
        </is>
      </c>
      <c r="G44" t="inlineStr">
        <is>
          <t>STRÖMSTAD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46295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46295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46295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46295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46295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46295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46295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46295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31388-2022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46295</v>
      </c>
      <c r="F53" t="inlineStr">
        <is>
          <t>VÄSTRA GÖTALANDS LÄN</t>
        </is>
      </c>
      <c r="G53" t="inlineStr">
        <is>
          <t>STRÖMSTAD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44763</v>
      </c>
      <c r="E54" s="1" t="n">
        <v>46295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44885</v>
      </c>
      <c r="E55" s="1" t="n">
        <v>46295</v>
      </c>
      <c r="F55" t="inlineStr">
        <is>
          <t>VÄSTRA GÖTALANDS LÄN</t>
        </is>
      </c>
      <c r="G55" t="inlineStr">
        <is>
          <t>STRÖMSTAD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46295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46295</v>
      </c>
      <c r="F57" t="inlineStr">
        <is>
          <t>VÄSTRA GÖTALANDS LÄN</t>
        </is>
      </c>
      <c r="G57" t="inlineStr">
        <is>
          <t>STRÖMSTAD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9695-2025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45716</v>
      </c>
      <c r="E58" s="1" t="n">
        <v>46295</v>
      </c>
      <c r="F58" t="inlineStr">
        <is>
          <t>VÄSTRA GÖTALANDS LÄN</t>
        </is>
      </c>
      <c r="G58" t="inlineStr">
        <is>
          <t>STRÖMSTAD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45739</v>
      </c>
      <c r="E59" s="1" t="n">
        <v>46295</v>
      </c>
      <c r="F59" t="inlineStr">
        <is>
          <t>VÄSTRA GÖTALANDS LÄN</t>
        </is>
      </c>
      <c r="G59" t="inlineStr">
        <is>
          <t>STRÖMSTAD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46295</v>
      </c>
      <c r="F60" t="inlineStr">
        <is>
          <t>VÄSTRA GÖTALANDS LÄN</t>
        </is>
      </c>
      <c r="G60" t="inlineStr">
        <is>
          <t>STRÖMSTAD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45739</v>
      </c>
      <c r="E61" s="1" t="n">
        <v>46295</v>
      </c>
      <c r="F61" t="inlineStr">
        <is>
          <t>VÄSTRA GÖTALANDS LÄN</t>
        </is>
      </c>
      <c r="G61" t="inlineStr">
        <is>
          <t>STRÖMSTAD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72625-2021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46295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46295</v>
      </c>
      <c r="F63" t="inlineStr">
        <is>
          <t>VÄSTRA GÖTALANDS LÄN</t>
        </is>
      </c>
      <c r="G63" t="inlineStr">
        <is>
          <t>STRÖMSTAD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46029</v>
      </c>
      <c r="E64" s="1" t="n">
        <v>46295</v>
      </c>
      <c r="F64" t="inlineStr">
        <is>
          <t>VÄSTRA GÖTALANDS LÄN</t>
        </is>
      </c>
      <c r="G64" t="inlineStr">
        <is>
          <t>STRÖMSTAD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45483</v>
      </c>
      <c r="E65" s="1" t="n">
        <v>46295</v>
      </c>
      <c r="F65" t="inlineStr">
        <is>
          <t>VÄSTRA GÖTALANDS LÄN</t>
        </is>
      </c>
      <c r="G65" t="inlineStr">
        <is>
          <t>STRÖMSTAD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44830</v>
      </c>
      <c r="E66" s="1" t="n">
        <v>46295</v>
      </c>
      <c r="F66" t="inlineStr">
        <is>
          <t>VÄSTRA GÖTALANDS LÄN</t>
        </is>
      </c>
      <c r="G66" t="inlineStr">
        <is>
          <t>STRÖMSTAD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45189</v>
      </c>
      <c r="E67" s="1" t="n">
        <v>46295</v>
      </c>
      <c r="F67" t="inlineStr">
        <is>
          <t>VÄSTRA GÖTALANDS LÄN</t>
        </is>
      </c>
      <c r="G67" t="inlineStr">
        <is>
          <t>STRÖMSTAD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46295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46295</v>
      </c>
      <c r="F69" t="inlineStr">
        <is>
          <t>VÄSTRA GÖTALANDS LÄN</t>
        </is>
      </c>
      <c r="G69" t="inlineStr">
        <is>
          <t>STRÖMSTAD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44649</v>
      </c>
      <c r="E70" s="1" t="n">
        <v>46295</v>
      </c>
      <c r="F70" t="inlineStr">
        <is>
          <t>VÄSTRA GÖTALANDS LÄN</t>
        </is>
      </c>
      <c r="G70" t="inlineStr">
        <is>
          <t>STRÖMSTAD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45018</v>
      </c>
      <c r="E71" s="1" t="n">
        <v>46295</v>
      </c>
      <c r="F71" t="inlineStr">
        <is>
          <t>VÄSTRA GÖTALANDS LÄN</t>
        </is>
      </c>
      <c r="G71" t="inlineStr">
        <is>
          <t>STRÖMSTAD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46034</v>
      </c>
      <c r="E72" s="1" t="n">
        <v>46295</v>
      </c>
      <c r="F72" t="inlineStr">
        <is>
          <t>VÄSTRA GÖTALANDS LÄN</t>
        </is>
      </c>
      <c r="G72" t="inlineStr">
        <is>
          <t>STRÖMSTAD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46035</v>
      </c>
      <c r="E73" s="1" t="n">
        <v>46295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46036</v>
      </c>
      <c r="E74" s="1" t="n">
        <v>46295</v>
      </c>
      <c r="F74" t="inlineStr">
        <is>
          <t>VÄSTRA GÖTALANDS LÄN</t>
        </is>
      </c>
      <c r="G74" t="inlineStr">
        <is>
          <t>STRÖMSTAD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46036</v>
      </c>
      <c r="E75" s="1" t="n">
        <v>46295</v>
      </c>
      <c r="F75" t="inlineStr">
        <is>
          <t>VÄSTRA GÖTALANDS LÄN</t>
        </is>
      </c>
      <c r="G75" t="inlineStr">
        <is>
          <t>STRÖMSTAD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46295</v>
      </c>
      <c r="F76" t="inlineStr">
        <is>
          <t>VÄSTRA GÖTALANDS LÄN</t>
        </is>
      </c>
      <c r="G76" t="inlineStr">
        <is>
          <t>STRÖMSTAD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33118-2023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45126</v>
      </c>
      <c r="E77" s="1" t="n">
        <v>46295</v>
      </c>
      <c r="F77" t="inlineStr">
        <is>
          <t>VÄSTRA GÖTALANDS LÄN</t>
        </is>
      </c>
      <c r="G77" t="inlineStr">
        <is>
          <t>STRÖMSTAD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45126</v>
      </c>
      <c r="E78" s="1" t="n">
        <v>46295</v>
      </c>
      <c r="F78" t="inlineStr">
        <is>
          <t>VÄSTRA GÖTALANDS LÄN</t>
        </is>
      </c>
      <c r="G78" t="inlineStr">
        <is>
          <t>STRÖMSTAD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45841</v>
      </c>
      <c r="E79" s="1" t="n">
        <v>46295</v>
      </c>
      <c r="F79" t="inlineStr">
        <is>
          <t>VÄSTRA GÖTALANDS LÄN</t>
        </is>
      </c>
      <c r="G79" t="inlineStr">
        <is>
          <t>STRÖMSTAD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46295</v>
      </c>
      <c r="F80" t="inlineStr">
        <is>
          <t>VÄSTRA GÖTALANDS LÄN</t>
        </is>
      </c>
      <c r="G80" t="inlineStr">
        <is>
          <t>STRÖMSTAD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46295</v>
      </c>
      <c r="F81" t="inlineStr">
        <is>
          <t>VÄSTRA GÖTALANDS LÄN</t>
        </is>
      </c>
      <c r="G81" t="inlineStr">
        <is>
          <t>STRÖMSTAD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46295</v>
      </c>
      <c r="F82" t="inlineStr">
        <is>
          <t>VÄSTRA GÖTALANDS LÄN</t>
        </is>
      </c>
      <c r="G82" t="inlineStr">
        <is>
          <t>STRÖMSTAD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46295</v>
      </c>
      <c r="F83" t="inlineStr">
        <is>
          <t>VÄSTRA GÖTALANDS LÄN</t>
        </is>
      </c>
      <c r="G83" t="inlineStr">
        <is>
          <t>STRÖMSTAD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45748</v>
      </c>
      <c r="E84" s="1" t="n">
        <v>46295</v>
      </c>
      <c r="F84" t="inlineStr">
        <is>
          <t>VÄSTRA GÖTALANDS LÄN</t>
        </is>
      </c>
      <c r="G84" t="inlineStr">
        <is>
          <t>STRÖMSTAD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46295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45945</v>
      </c>
      <c r="E86" s="1" t="n">
        <v>46295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Övriga Aktiebolag</t>
        </is>
      </c>
      <c r="I86" t="n">
        <v>14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46295</v>
      </c>
      <c r="F87" t="inlineStr">
        <is>
          <t>VÄSTRA GÖTALANDS LÄN</t>
        </is>
      </c>
      <c r="G87" t="inlineStr">
        <is>
          <t>STRÖMSTAD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46295</v>
      </c>
      <c r="F88" t="inlineStr">
        <is>
          <t>VÄSTRA GÖTALANDS LÄN</t>
        </is>
      </c>
      <c r="G88" t="inlineStr">
        <is>
          <t>STRÖMSTAD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46295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46295</v>
      </c>
      <c r="F90" t="inlineStr">
        <is>
          <t>VÄSTRA GÖTALANDS LÄN</t>
        </is>
      </c>
      <c r="G90" t="inlineStr">
        <is>
          <t>STRÖMSTAD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46295</v>
      </c>
      <c r="F91" t="inlineStr">
        <is>
          <t>VÄSTRA GÖTALANDS LÄN</t>
        </is>
      </c>
      <c r="G91" t="inlineStr">
        <is>
          <t>STRÖMSTAD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7466-2026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46295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Kommuner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7545-2026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46059</v>
      </c>
      <c r="E93" s="1" t="n">
        <v>46295</v>
      </c>
      <c r="F93" t="inlineStr">
        <is>
          <t>VÄSTRA GÖTALANDS LÄN</t>
        </is>
      </c>
      <c r="G93" t="inlineStr">
        <is>
          <t>STRÖMSTAD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46295</v>
      </c>
      <c r="F94" t="inlineStr">
        <is>
          <t>VÄSTRA GÖTALANDS LÄN</t>
        </is>
      </c>
      <c r="G94" t="inlineStr">
        <is>
          <t>STRÖMSTAD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46295</v>
      </c>
      <c r="F95" t="inlineStr">
        <is>
          <t>VÄSTRA GÖTALANDS LÄN</t>
        </is>
      </c>
      <c r="G95" t="inlineStr">
        <is>
          <t>STRÖMSTAD</t>
        </is>
      </c>
      <c r="H95" t="inlineStr">
        <is>
          <t>Kommuner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46063</v>
      </c>
      <c r="E96" s="1" t="n">
        <v>46295</v>
      </c>
      <c r="F96" t="inlineStr">
        <is>
          <t>VÄSTRA GÖTALANDS LÄN</t>
        </is>
      </c>
      <c r="G96" t="inlineStr">
        <is>
          <t>STRÖMSTAD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46063</v>
      </c>
      <c r="E97" s="1" t="n">
        <v>46295</v>
      </c>
      <c r="F97" t="inlineStr">
        <is>
          <t>VÄSTRA GÖTALANDS LÄN</t>
        </is>
      </c>
      <c r="G97" t="inlineStr">
        <is>
          <t>STRÖMSTAD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8058-2026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46063</v>
      </c>
      <c r="E98" s="1" t="n">
        <v>46295</v>
      </c>
      <c r="F98" t="inlineStr">
        <is>
          <t>VÄSTRA GÖTALANDS LÄN</t>
        </is>
      </c>
      <c r="G98" t="inlineStr">
        <is>
          <t>STRÖMSTAD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46295</v>
      </c>
      <c r="F99" t="inlineStr">
        <is>
          <t>VÄSTRA GÖTALANDS LÄN</t>
        </is>
      </c>
      <c r="G99" t="inlineStr">
        <is>
          <t>STRÖMSTAD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55830-2025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45972</v>
      </c>
      <c r="E100" s="1" t="n">
        <v>46295</v>
      </c>
      <c r="F100" t="inlineStr">
        <is>
          <t>VÄSTRA GÖTALANDS LÄN</t>
        </is>
      </c>
      <c r="G100" t="inlineStr">
        <is>
          <t>STRÖMSTAD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46295</v>
      </c>
      <c r="F101" t="inlineStr">
        <is>
          <t>VÄSTRA GÖTALANDS LÄN</t>
        </is>
      </c>
      <c r="G101" t="inlineStr">
        <is>
          <t>STRÖMSTAD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58226-2025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46295</v>
      </c>
      <c r="F102" t="inlineStr">
        <is>
          <t>VÄSTRA GÖTALANDS LÄN</t>
        </is>
      </c>
      <c r="G102" t="inlineStr">
        <is>
          <t>STRÖMSTAD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46295</v>
      </c>
      <c r="F103" t="inlineStr">
        <is>
          <t>VÄSTRA GÖTALANDS LÄN</t>
        </is>
      </c>
      <c r="G103" t="inlineStr">
        <is>
          <t>STRÖMSTAD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16989-2023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45033</v>
      </c>
      <c r="E104" s="1" t="n">
        <v>46295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Kommuner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10850-2026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46078</v>
      </c>
      <c r="E105" s="1" t="n">
        <v>46295</v>
      </c>
      <c r="F105" t="inlineStr">
        <is>
          <t>VÄSTRA GÖTALANDS LÄN</t>
        </is>
      </c>
      <c r="G105" t="inlineStr">
        <is>
          <t>STRÖMSTAD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44529-2023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45189</v>
      </c>
      <c r="E106" s="1" t="n">
        <v>46295</v>
      </c>
      <c r="F106" t="inlineStr">
        <is>
          <t>VÄSTRA GÖTALANDS LÄN</t>
        </is>
      </c>
      <c r="G106" t="inlineStr">
        <is>
          <t>STRÖMSTAD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33745-2023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45133</v>
      </c>
      <c r="E107" s="1" t="n">
        <v>46295</v>
      </c>
      <c r="F107" t="inlineStr">
        <is>
          <t>VÄSTRA GÖTALANDS LÄN</t>
        </is>
      </c>
      <c r="G107" t="inlineStr">
        <is>
          <t>STRÖMSTAD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57663-2025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46295</v>
      </c>
      <c r="F108" t="inlineStr">
        <is>
          <t>VÄSTRA GÖTALANDS LÄN</t>
        </is>
      </c>
      <c r="G108" t="inlineStr">
        <is>
          <t>STRÖMSTAD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46003</v>
      </c>
      <c r="E109" s="1" t="n">
        <v>46295</v>
      </c>
      <c r="F109" t="inlineStr">
        <is>
          <t>VÄSTRA GÖTALANDS LÄN</t>
        </is>
      </c>
      <c r="G109" t="inlineStr">
        <is>
          <t>STRÖMSTAD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45483</v>
      </c>
      <c r="E110" s="1" t="n">
        <v>46295</v>
      </c>
      <c r="F110" t="inlineStr">
        <is>
          <t>VÄSTRA GÖTALANDS LÄN</t>
        </is>
      </c>
      <c r="G110" t="inlineStr">
        <is>
          <t>STRÖMSTAD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46100</v>
      </c>
      <c r="E111" s="1" t="n">
        <v>46295</v>
      </c>
      <c r="F111" t="inlineStr">
        <is>
          <t>VÄSTRA GÖTALANDS LÄN</t>
        </is>
      </c>
      <c r="G111" t="inlineStr">
        <is>
          <t>STRÖMSTAD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14456-2026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46100</v>
      </c>
      <c r="E112" s="1" t="n">
        <v>46295</v>
      </c>
      <c r="F112" t="inlineStr">
        <is>
          <t>VÄSTRA GÖTALANDS LÄN</t>
        </is>
      </c>
      <c r="G112" t="inlineStr">
        <is>
          <t>STRÖMSTAD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46100</v>
      </c>
      <c r="E113" s="1" t="n">
        <v>46295</v>
      </c>
      <c r="F113" t="inlineStr">
        <is>
          <t>VÄSTRA GÖTALANDS LÄN</t>
        </is>
      </c>
      <c r="G113" t="inlineStr">
        <is>
          <t>STRÖMSTAD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46295</v>
      </c>
      <c r="F114" t="inlineStr">
        <is>
          <t>VÄSTRA GÖTALANDS LÄN</t>
        </is>
      </c>
      <c r="G114" t="inlineStr">
        <is>
          <t>STRÖMSTAD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46295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45057</v>
      </c>
      <c r="E116" s="1" t="n">
        <v>46295</v>
      </c>
      <c r="F116" t="inlineStr">
        <is>
          <t>VÄSTRA GÖTALANDS LÄN</t>
        </is>
      </c>
      <c r="G116" t="inlineStr">
        <is>
          <t>STRÖMSTAD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19134-2025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45764</v>
      </c>
      <c r="E117" s="1" t="n">
        <v>46295</v>
      </c>
      <c r="F117" t="inlineStr">
        <is>
          <t>VÄSTRA GÖTALANDS LÄN</t>
        </is>
      </c>
      <c r="G117" t="inlineStr">
        <is>
          <t>STRÖMSTAD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46100</v>
      </c>
      <c r="E118" s="1" t="n">
        <v>46295</v>
      </c>
      <c r="F118" t="inlineStr">
        <is>
          <t>VÄSTRA GÖTALANDS LÄN</t>
        </is>
      </c>
      <c r="G118" t="inlineStr">
        <is>
          <t>STRÖMSTAD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11897-2025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45728</v>
      </c>
      <c r="E119" s="1" t="n">
        <v>46295</v>
      </c>
      <c r="F119" t="inlineStr">
        <is>
          <t>VÄSTRA GÖTALANDS LÄN</t>
        </is>
      </c>
      <c r="G119" t="inlineStr">
        <is>
          <t>STRÖMSTAD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46295</v>
      </c>
      <c r="F120" t="inlineStr">
        <is>
          <t>VÄSTRA GÖTALANDS LÄN</t>
        </is>
      </c>
      <c r="G120" t="inlineStr">
        <is>
          <t>STRÖMSTAD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44865</v>
      </c>
      <c r="E121" s="1" t="n">
        <v>46295</v>
      </c>
      <c r="F121" t="inlineStr">
        <is>
          <t>VÄSTRA GÖTALANDS LÄN</t>
        </is>
      </c>
      <c r="G121" t="inlineStr">
        <is>
          <t>STRÖMSTAD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45385</v>
      </c>
      <c r="E122" s="1" t="n">
        <v>46295</v>
      </c>
      <c r="F122" t="inlineStr">
        <is>
          <t>VÄSTRA GÖTALANDS LÄN</t>
        </is>
      </c>
      <c r="G122" t="inlineStr">
        <is>
          <t>STRÖMSTAD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45301</v>
      </c>
      <c r="E123" s="1" t="n">
        <v>46295</v>
      </c>
      <c r="F123" t="inlineStr">
        <is>
          <t>VÄSTRA GÖTALANDS LÄN</t>
        </is>
      </c>
      <c r="G123" t="inlineStr">
        <is>
          <t>STRÖMSTAD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45316</v>
      </c>
      <c r="E124" s="1" t="n">
        <v>46295</v>
      </c>
      <c r="F124" t="inlineStr">
        <is>
          <t>VÄSTRA GÖTALANDS LÄN</t>
        </is>
      </c>
      <c r="G124" t="inlineStr">
        <is>
          <t>STRÖMSTAD</t>
        </is>
      </c>
      <c r="H124" t="inlineStr">
        <is>
          <t>Kommuner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46103</v>
      </c>
      <c r="E125" s="1" t="n">
        <v>46295</v>
      </c>
      <c r="F125" t="inlineStr">
        <is>
          <t>VÄSTRA GÖTALANDS LÄN</t>
        </is>
      </c>
      <c r="G125" t="inlineStr">
        <is>
          <t>STRÖMSTAD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39001-2024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46295</v>
      </c>
      <c r="F126" t="inlineStr">
        <is>
          <t>VÄSTRA GÖTALANDS LÄN</t>
        </is>
      </c>
      <c r="G126" t="inlineStr">
        <is>
          <t>STRÖMSTAD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46295</v>
      </c>
      <c r="F127" t="inlineStr">
        <is>
          <t>VÄSTRA GÖTALANDS LÄN</t>
        </is>
      </c>
      <c r="G127" t="inlineStr">
        <is>
          <t>STRÖMSTAD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45834</v>
      </c>
      <c r="E128" s="1" t="n">
        <v>46295</v>
      </c>
      <c r="F128" t="inlineStr">
        <is>
          <t>VÄSTRA GÖTALANDS LÄN</t>
        </is>
      </c>
      <c r="G128" t="inlineStr">
        <is>
          <t>STRÖMSTAD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46295</v>
      </c>
      <c r="F129" t="inlineStr">
        <is>
          <t>VÄSTRA GÖTALANDS LÄN</t>
        </is>
      </c>
      <c r="G129" t="inlineStr">
        <is>
          <t>STRÖMSTAD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56130-2022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44886</v>
      </c>
      <c r="E130" s="1" t="n">
        <v>46295</v>
      </c>
      <c r="F130" t="inlineStr">
        <is>
          <t>VÄSTRA GÖTALANDS LÄN</t>
        </is>
      </c>
      <c r="G130" t="inlineStr">
        <is>
          <t>STRÖMSTAD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46295</v>
      </c>
      <c r="F131" t="inlineStr">
        <is>
          <t>VÄSTRA GÖTALANDS LÄN</t>
        </is>
      </c>
      <c r="G131" t="inlineStr">
        <is>
          <t>STRÖMSTAD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46295</v>
      </c>
      <c r="F132" t="inlineStr">
        <is>
          <t>VÄSTRA GÖTALANDS LÄN</t>
        </is>
      </c>
      <c r="G132" t="inlineStr">
        <is>
          <t>STRÖMSTAD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45440</v>
      </c>
      <c r="E133" s="1" t="n">
        <v>46295</v>
      </c>
      <c r="F133" t="inlineStr">
        <is>
          <t>VÄSTRA GÖTALANDS LÄN</t>
        </is>
      </c>
      <c r="G133" t="inlineStr">
        <is>
          <t>STRÖMSTAD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46295</v>
      </c>
      <c r="F134" t="inlineStr">
        <is>
          <t>VÄSTRA GÖTALANDS LÄN</t>
        </is>
      </c>
      <c r="G134" t="inlineStr">
        <is>
          <t>STRÖMSTAD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45482</v>
      </c>
      <c r="E135" s="1" t="n">
        <v>46295</v>
      </c>
      <c r="F135" t="inlineStr">
        <is>
          <t>VÄSTRA GÖTALANDS LÄN</t>
        </is>
      </c>
      <c r="G135" t="inlineStr">
        <is>
          <t>STRÖMSTAD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45243</v>
      </c>
      <c r="E136" s="1" t="n">
        <v>46295</v>
      </c>
      <c r="F136" t="inlineStr">
        <is>
          <t>VÄSTRA GÖTALANDS LÄN</t>
        </is>
      </c>
      <c r="G136" t="inlineStr">
        <is>
          <t>STRÖMSTAD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46295</v>
      </c>
      <c r="F137" t="inlineStr">
        <is>
          <t>VÄSTRA GÖTALANDS LÄN</t>
        </is>
      </c>
      <c r="G137" t="inlineStr">
        <is>
          <t>STRÖMSTAD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46295</v>
      </c>
      <c r="F138" t="inlineStr">
        <is>
          <t>VÄSTRA GÖTALANDS LÄN</t>
        </is>
      </c>
      <c r="G138" t="inlineStr">
        <is>
          <t>STRÖMSTAD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44603</v>
      </c>
      <c r="E139" s="1" t="n">
        <v>46295</v>
      </c>
      <c r="F139" t="inlineStr">
        <is>
          <t>VÄSTRA GÖTALANDS LÄN</t>
        </is>
      </c>
      <c r="G139" t="inlineStr">
        <is>
          <t>STRÖMSTAD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46295</v>
      </c>
      <c r="F140" t="inlineStr">
        <is>
          <t>VÄSTRA GÖTALANDS LÄN</t>
        </is>
      </c>
      <c r="G140" t="inlineStr">
        <is>
          <t>STRÖMSTAD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46295</v>
      </c>
      <c r="F141" t="inlineStr">
        <is>
          <t>VÄSTRA GÖTALANDS LÄN</t>
        </is>
      </c>
      <c r="G141" t="inlineStr">
        <is>
          <t>STRÖMSTAD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67875-2021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44525</v>
      </c>
      <c r="E142" s="1" t="n">
        <v>46295</v>
      </c>
      <c r="F142" t="inlineStr">
        <is>
          <t>VÄSTRA GÖTALANDS LÄN</t>
        </is>
      </c>
      <c r="G142" t="inlineStr">
        <is>
          <t>STRÖMSTAD</t>
        </is>
      </c>
      <c r="I142" t="n">
        <v>15.5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45407</v>
      </c>
      <c r="E143" s="1" t="n">
        <v>46295</v>
      </c>
      <c r="F143" t="inlineStr">
        <is>
          <t>VÄSTRA GÖTALANDS LÄN</t>
        </is>
      </c>
      <c r="G143" t="inlineStr">
        <is>
          <t>STRÖMSTAD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45876</v>
      </c>
      <c r="E144" s="1" t="n">
        <v>46295</v>
      </c>
      <c r="F144" t="inlineStr">
        <is>
          <t>VÄSTRA GÖTALANDS LÄN</t>
        </is>
      </c>
      <c r="G144" t="inlineStr">
        <is>
          <t>STRÖMSTAD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46295</v>
      </c>
      <c r="F145" t="inlineStr">
        <is>
          <t>VÄSTRA GÖTALANDS LÄN</t>
        </is>
      </c>
      <c r="G145" t="inlineStr">
        <is>
          <t>STRÖMSTAD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46295</v>
      </c>
      <c r="F146" t="inlineStr">
        <is>
          <t>VÄSTRA GÖTALANDS LÄN</t>
        </is>
      </c>
      <c r="G146" t="inlineStr">
        <is>
          <t>STRÖMSTAD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45366</v>
      </c>
      <c r="E147" s="1" t="n">
        <v>46295</v>
      </c>
      <c r="F147" t="inlineStr">
        <is>
          <t>VÄSTRA GÖTALANDS LÄN</t>
        </is>
      </c>
      <c r="G147" t="inlineStr">
        <is>
          <t>STRÖMSTAD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45555</v>
      </c>
      <c r="E148" s="1" t="n">
        <v>46295</v>
      </c>
      <c r="F148" t="inlineStr">
        <is>
          <t>VÄSTRA GÖTALANDS LÄN</t>
        </is>
      </c>
      <c r="G148" t="inlineStr">
        <is>
          <t>STRÖMSTAD</t>
        </is>
      </c>
      <c r="I148" t="n">
        <v>14.5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46150</v>
      </c>
      <c r="E149" s="1" t="n">
        <v>46295</v>
      </c>
      <c r="F149" t="inlineStr">
        <is>
          <t>VÄSTRA GÖTALANDS LÄN</t>
        </is>
      </c>
      <c r="G149" t="inlineStr">
        <is>
          <t>STRÖMSTAD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21833-2026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46150</v>
      </c>
      <c r="E150" s="1" t="n">
        <v>46295</v>
      </c>
      <c r="F150" t="inlineStr">
        <is>
          <t>VÄSTRA GÖTALANDS LÄN</t>
        </is>
      </c>
      <c r="G150" t="inlineStr">
        <is>
          <t>STRÖMSTAD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46150</v>
      </c>
      <c r="E151" s="1" t="n">
        <v>46295</v>
      </c>
      <c r="F151" t="inlineStr">
        <is>
          <t>VÄSTRA GÖTALANDS LÄN</t>
        </is>
      </c>
      <c r="G151" t="inlineStr">
        <is>
          <t>STRÖMSTAD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46149</v>
      </c>
      <c r="E152" s="1" t="n">
        <v>46295</v>
      </c>
      <c r="F152" t="inlineStr">
        <is>
          <t>VÄSTRA GÖTALANDS LÄN</t>
        </is>
      </c>
      <c r="G152" t="inlineStr">
        <is>
          <t>STRÖMSTAD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21826-2026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46150</v>
      </c>
      <c r="E153" s="1" t="n">
        <v>46295</v>
      </c>
      <c r="F153" t="inlineStr">
        <is>
          <t>VÄSTRA GÖTALANDS LÄN</t>
        </is>
      </c>
      <c r="G153" t="inlineStr">
        <is>
          <t>STRÖMSTAD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46150</v>
      </c>
      <c r="E154" s="1" t="n">
        <v>46295</v>
      </c>
      <c r="F154" t="inlineStr">
        <is>
          <t>VÄSTRA GÖTALANDS LÄN</t>
        </is>
      </c>
      <c r="G154" t="inlineStr">
        <is>
          <t>STRÖMSTAD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22321-2026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46295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45217</v>
      </c>
      <c r="E156" s="1" t="n">
        <v>46295</v>
      </c>
      <c r="F156" t="inlineStr">
        <is>
          <t>VÄSTRA GÖTALANDS LÄN</t>
        </is>
      </c>
      <c r="G156" t="inlineStr">
        <is>
          <t>STRÖMSTAD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45547</v>
      </c>
      <c r="E157" s="1" t="n">
        <v>46295</v>
      </c>
      <c r="F157" t="inlineStr">
        <is>
          <t>VÄSTRA GÖTALANDS LÄN</t>
        </is>
      </c>
      <c r="G157" t="inlineStr">
        <is>
          <t>STRÖMSTAD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23027-2026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46161</v>
      </c>
      <c r="E158" s="1" t="n">
        <v>46295</v>
      </c>
      <c r="F158" t="inlineStr">
        <is>
          <t>VÄSTRA GÖTALANDS LÄN</t>
        </is>
      </c>
      <c r="G158" t="inlineStr">
        <is>
          <t>STRÖMSTAD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8047-2024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45351</v>
      </c>
      <c r="E159" s="1" t="n">
        <v>46295</v>
      </c>
      <c r="F159" t="inlineStr">
        <is>
          <t>VÄSTRA GÖTALANDS LÄN</t>
        </is>
      </c>
      <c r="G159" t="inlineStr">
        <is>
          <t>STRÖMSTAD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45085</v>
      </c>
      <c r="E160" s="1" t="n">
        <v>46295</v>
      </c>
      <c r="F160" t="inlineStr">
        <is>
          <t>VÄSTRA GÖTALANDS LÄN</t>
        </is>
      </c>
      <c r="G160" t="inlineStr">
        <is>
          <t>STRÖMSTAD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46295</v>
      </c>
      <c r="F161" t="inlineStr">
        <is>
          <t>VÄSTRA GÖTALANDS LÄN</t>
        </is>
      </c>
      <c r="G161" t="inlineStr">
        <is>
          <t>STRÖMSTAD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46295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44701</v>
      </c>
      <c r="E163" s="1" t="n">
        <v>46295</v>
      </c>
      <c r="F163" t="inlineStr">
        <is>
          <t>VÄSTRA GÖTALANDS LÄN</t>
        </is>
      </c>
      <c r="G163" t="inlineStr">
        <is>
          <t>STRÖMSTAD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46295</v>
      </c>
      <c r="F164" t="inlineStr">
        <is>
          <t>VÄSTRA GÖTALANDS LÄN</t>
        </is>
      </c>
      <c r="G164" t="inlineStr">
        <is>
          <t>STRÖMSTAD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46182</v>
      </c>
      <c r="E165" s="1" t="n">
        <v>46295</v>
      </c>
      <c r="F165" t="inlineStr">
        <is>
          <t>VÄSTRA GÖTALANDS LÄN</t>
        </is>
      </c>
      <c r="G165" t="inlineStr">
        <is>
          <t>STRÖMSTAD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45728</v>
      </c>
      <c r="E166" s="1" t="n">
        <v>46295</v>
      </c>
      <c r="F166" t="inlineStr">
        <is>
          <t>VÄSTRA GÖTALANDS LÄN</t>
        </is>
      </c>
      <c r="G166" t="inlineStr">
        <is>
          <t>STRÖMSTAD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45318</v>
      </c>
      <c r="E167" s="1" t="n">
        <v>46295</v>
      </c>
      <c r="F167" t="inlineStr">
        <is>
          <t>VÄSTRA GÖTALANDS LÄN</t>
        </is>
      </c>
      <c r="G167" t="inlineStr">
        <is>
          <t>STRÖMSTAD</t>
        </is>
      </c>
      <c r="H167" t="inlineStr">
        <is>
          <t>Kommuner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21061-2022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46295</v>
      </c>
      <c r="F168" t="inlineStr">
        <is>
          <t>VÄSTRA GÖTALANDS LÄN</t>
        </is>
      </c>
      <c r="G168" t="inlineStr">
        <is>
          <t>STRÖMSTAD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45232</v>
      </c>
      <c r="E169" s="1" t="n">
        <v>46295</v>
      </c>
      <c r="F169" t="inlineStr">
        <is>
          <t>VÄSTRA GÖTALANDS LÄN</t>
        </is>
      </c>
      <c r="G169" t="inlineStr">
        <is>
          <t>STRÖMSTAD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45301</v>
      </c>
      <c r="E170" s="1" t="n">
        <v>46295</v>
      </c>
      <c r="F170" t="inlineStr">
        <is>
          <t>VÄSTRA GÖTALANDS LÄN</t>
        </is>
      </c>
      <c r="G170" t="inlineStr">
        <is>
          <t>STRÖMSTAD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46196</v>
      </c>
      <c r="E171" s="1" t="n">
        <v>46295</v>
      </c>
      <c r="F171" t="inlineStr">
        <is>
          <t>VÄSTRA GÖTALANDS LÄN</t>
        </is>
      </c>
      <c r="G171" t="inlineStr">
        <is>
          <t>STRÖMSTAD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46156</v>
      </c>
      <c r="E172" s="1" t="n">
        <v>46295</v>
      </c>
      <c r="F172" t="inlineStr">
        <is>
          <t>VÄSTRA GÖTALANDS LÄN</t>
        </is>
      </c>
      <c r="G172" t="inlineStr">
        <is>
          <t>STRÖMSTAD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45482</v>
      </c>
      <c r="E173" s="1" t="n">
        <v>46295</v>
      </c>
      <c r="F173" t="inlineStr">
        <is>
          <t>VÄSTRA GÖTALANDS LÄN</t>
        </is>
      </c>
      <c r="G173" t="inlineStr">
        <is>
          <t>STRÖMSTAD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44892</v>
      </c>
      <c r="E174" s="1" t="n">
        <v>46295</v>
      </c>
      <c r="F174" t="inlineStr">
        <is>
          <t>VÄSTRA GÖTALANDS LÄN</t>
        </is>
      </c>
      <c r="G174" t="inlineStr">
        <is>
          <t>STRÖMSTAD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29587-2026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46204</v>
      </c>
      <c r="E175" s="1" t="n">
        <v>46295</v>
      </c>
      <c r="F175" t="inlineStr">
        <is>
          <t>VÄSTRA GÖTALANDS LÄN</t>
        </is>
      </c>
      <c r="G175" t="inlineStr">
        <is>
          <t>STRÖMSTAD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45019</v>
      </c>
      <c r="E176" s="1" t="n">
        <v>46295</v>
      </c>
      <c r="F176" t="inlineStr">
        <is>
          <t>VÄSTRA GÖTALANDS LÄN</t>
        </is>
      </c>
      <c r="G176" t="inlineStr">
        <is>
          <t>STRÖMSTAD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9983-2022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44621</v>
      </c>
      <c r="E177" s="1" t="n">
        <v>46295</v>
      </c>
      <c r="F177" t="inlineStr">
        <is>
          <t>VÄSTRA GÖTALANDS LÄN</t>
        </is>
      </c>
      <c r="G177" t="inlineStr">
        <is>
          <t>STRÖMSTAD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45061</v>
      </c>
      <c r="E178" s="1" t="n">
        <v>46295</v>
      </c>
      <c r="F178" t="inlineStr">
        <is>
          <t>VÄSTRA GÖTALANDS LÄN</t>
        </is>
      </c>
      <c r="G178" t="inlineStr">
        <is>
          <t>STRÖMSTAD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46260</v>
      </c>
      <c r="E179" s="1" t="n">
        <v>46295</v>
      </c>
      <c r="F179" t="inlineStr">
        <is>
          <t>VÄSTRA GÖTALANDS LÄN</t>
        </is>
      </c>
      <c r="G179" t="inlineStr">
        <is>
          <t>STRÖMSTAD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44903</v>
      </c>
      <c r="E180" s="1" t="n">
        <v>46295</v>
      </c>
      <c r="F180" t="inlineStr">
        <is>
          <t>VÄSTRA GÖTALANDS LÄN</t>
        </is>
      </c>
      <c r="G180" t="inlineStr">
        <is>
          <t>STRÖMSTAD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46295</v>
      </c>
      <c r="F181" t="inlineStr">
        <is>
          <t>VÄSTRA GÖTALANDS LÄN</t>
        </is>
      </c>
      <c r="G181" t="inlineStr">
        <is>
          <t>STRÖMSTAD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46266</v>
      </c>
      <c r="E182" s="1" t="n">
        <v>46295</v>
      </c>
      <c r="F182" t="inlineStr">
        <is>
          <t>VÄSTRA GÖTALANDS LÄN</t>
        </is>
      </c>
      <c r="G182" t="inlineStr">
        <is>
          <t>STRÖMSTAD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31837-2026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46230</v>
      </c>
      <c r="E183" s="1" t="n">
        <v>46295</v>
      </c>
      <c r="F183" t="inlineStr">
        <is>
          <t>VÄSTRA GÖTALANDS LÄN</t>
        </is>
      </c>
      <c r="G183" t="inlineStr">
        <is>
          <t>STRÖMSTAD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46295</v>
      </c>
      <c r="F184" t="inlineStr">
        <is>
          <t>VÄSTRA GÖTALANDS LÄN</t>
        </is>
      </c>
      <c r="G184" t="inlineStr">
        <is>
          <t>STRÖMSTAD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46295</v>
      </c>
      <c r="F185" t="inlineStr">
        <is>
          <t>VÄSTRA GÖTALANDS LÄN</t>
        </is>
      </c>
      <c r="G185" t="inlineStr">
        <is>
          <t>STRÖMSTAD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45331</v>
      </c>
      <c r="E186" s="1" t="n">
        <v>46295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46295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46279</v>
      </c>
      <c r="E188" s="1" t="n">
        <v>46295</v>
      </c>
      <c r="F188" t="inlineStr">
        <is>
          <t>VÄSTRA GÖTALANDS LÄN</t>
        </is>
      </c>
      <c r="G188" t="inlineStr">
        <is>
          <t>STRÖMSTAD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37058-2026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46273</v>
      </c>
      <c r="E189" s="1" t="n">
        <v>46295</v>
      </c>
      <c r="F189" t="inlineStr">
        <is>
          <t>VÄSTRA GÖTALANDS LÄN</t>
        </is>
      </c>
      <c r="G189" t="inlineStr">
        <is>
          <t>STRÖMSTAD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44907</v>
      </c>
      <c r="E190" s="1" t="n">
        <v>46295</v>
      </c>
      <c r="F190" t="inlineStr">
        <is>
          <t>VÄSTRA GÖTALANDS LÄN</t>
        </is>
      </c>
      <c r="G190" t="inlineStr">
        <is>
          <t>STRÖMSTAD</t>
        </is>
      </c>
      <c r="I190" t="n">
        <v>10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44875</v>
      </c>
      <c r="E191" s="1" t="n">
        <v>46295</v>
      </c>
      <c r="F191" t="inlineStr">
        <is>
          <t>VÄSTRA GÖTALANDS LÄN</t>
        </is>
      </c>
      <c r="G191" t="inlineStr">
        <is>
          <t>STRÖMSTAD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46295</v>
      </c>
      <c r="F192" t="inlineStr">
        <is>
          <t>VÄSTRA GÖTALANDS LÄN</t>
        </is>
      </c>
      <c r="G192" t="inlineStr">
        <is>
          <t>STRÖMSTAD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46295</v>
      </c>
      <c r="F193" t="inlineStr">
        <is>
          <t>VÄSTRA GÖTALANDS LÄN</t>
        </is>
      </c>
      <c r="G193" t="inlineStr">
        <is>
          <t>STRÖMSTAD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46295</v>
      </c>
      <c r="F194" t="inlineStr">
        <is>
          <t>VÄSTRA GÖTALANDS LÄN</t>
        </is>
      </c>
      <c r="G194" t="inlineStr">
        <is>
          <t>STRÖMSTAD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38537-2026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46283</v>
      </c>
      <c r="E195" s="1" t="n">
        <v>46295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Kyrkan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46295</v>
      </c>
      <c r="F196" t="inlineStr">
        <is>
          <t>VÄSTRA GÖTALANDS LÄN</t>
        </is>
      </c>
      <c r="G196" t="inlineStr">
        <is>
          <t>STRÖMSTAD</t>
        </is>
      </c>
      <c r="H196" t="inlineStr">
        <is>
          <t>Kommuner</t>
        </is>
      </c>
      <c r="I196" t="n">
        <v>8.6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46295</v>
      </c>
      <c r="F197" t="inlineStr">
        <is>
          <t>VÄSTRA GÖTALANDS LÄN</t>
        </is>
      </c>
      <c r="G197" t="inlineStr">
        <is>
          <t>STRÖMSTAD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45548</v>
      </c>
      <c r="E198" s="1" t="n">
        <v>46295</v>
      </c>
      <c r="F198" t="inlineStr">
        <is>
          <t>VÄSTRA GÖTALANDS LÄN</t>
        </is>
      </c>
      <c r="G198" t="inlineStr">
        <is>
          <t>STRÖMSTAD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46295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Kyrkan</t>
        </is>
      </c>
      <c r="I199" t="n">
        <v>9.5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46295</v>
      </c>
      <c r="F200" t="inlineStr">
        <is>
          <t>VÄSTRA GÖTALANDS LÄN</t>
        </is>
      </c>
      <c r="G200" t="inlineStr">
        <is>
          <t>STRÖMSTAD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46295</v>
      </c>
      <c r="F201" t="inlineStr">
        <is>
          <t>VÄSTRA GÖTALANDS LÄN</t>
        </is>
      </c>
      <c r="G201" t="inlineStr">
        <is>
          <t>STRÖMSTAD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46295</v>
      </c>
      <c r="F202" t="inlineStr">
        <is>
          <t>VÄSTRA GÖTALANDS LÄN</t>
        </is>
      </c>
      <c r="G202" t="inlineStr">
        <is>
          <t>STRÖMSTAD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46288</v>
      </c>
      <c r="E203" s="1" t="n">
        <v>46295</v>
      </c>
      <c r="F203" t="inlineStr">
        <is>
          <t>VÄSTRA GÖTALANDS LÄN</t>
        </is>
      </c>
      <c r="G203" t="inlineStr">
        <is>
          <t>STRÖMSTAD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46295</v>
      </c>
      <c r="F204" t="inlineStr">
        <is>
          <t>VÄSTRA GÖTALANDS LÄN</t>
        </is>
      </c>
      <c r="G204" t="inlineStr">
        <is>
          <t>STRÖMSTAD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46295</v>
      </c>
      <c r="F205" t="inlineStr">
        <is>
          <t>VÄSTRA GÖTALANDS LÄN</t>
        </is>
      </c>
      <c r="G205" t="inlineStr">
        <is>
          <t>STRÖMSTAD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46289</v>
      </c>
      <c r="E206" s="1" t="n">
        <v>46295</v>
      </c>
      <c r="F206" t="inlineStr">
        <is>
          <t>VÄSTRA GÖTALANDS LÄN</t>
        </is>
      </c>
      <c r="G206" t="inlineStr">
        <is>
          <t>STRÖMSTAD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46293</v>
      </c>
      <c r="E207" s="1" t="n">
        <v>46295</v>
      </c>
      <c r="F207" t="inlineStr">
        <is>
          <t>VÄSTRA GÖTALANDS LÄN</t>
        </is>
      </c>
      <c r="G207" t="inlineStr">
        <is>
          <t>STRÖMSTAD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46282</v>
      </c>
      <c r="E208" s="1" t="n">
        <v>46295</v>
      </c>
      <c r="F208" t="inlineStr">
        <is>
          <t>VÄSTRA GÖTALANDS LÄN</t>
        </is>
      </c>
      <c r="G208" t="inlineStr">
        <is>
          <t>STRÖMSTAD</t>
        </is>
      </c>
      <c r="H208" t="inlineStr">
        <is>
          <t>Kyrkan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3201-2023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45194</v>
      </c>
      <c r="E209" s="1" t="n">
        <v>46295</v>
      </c>
      <c r="F209" t="inlineStr">
        <is>
          <t>VÄSTRA GÖTALANDS LÄN</t>
        </is>
      </c>
      <c r="G209" t="inlineStr">
        <is>
          <t>STRÖMSTAD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4468-2022</t>
        </is>
      </c>
      <c r="B210" t="inlineStr">
        <is>
          <t>samrådsanmälan</t>
        </is>
      </c>
      <c r="C210" t="inlineStr">
        <is>
          <t>Skogsbilväg</t>
        </is>
      </c>
      <c r="D210" s="1" t="n">
        <v>44788</v>
      </c>
      <c r="E210" s="1" t="n">
        <v>46295</v>
      </c>
      <c r="F210" t="inlineStr">
        <is>
          <t>VÄSTRA GÖTALANDS LÄN</t>
        </is>
      </c>
      <c r="G210" t="inlineStr">
        <is>
          <t>STRÖMSTAD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85-2026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46036</v>
      </c>
      <c r="E211" s="1" t="n">
        <v>46295</v>
      </c>
      <c r="F211" t="inlineStr">
        <is>
          <t>VÄSTRA GÖTALANDS LÄN</t>
        </is>
      </c>
      <c r="G211" t="inlineStr">
        <is>
          <t>STRÖMSTAD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2026-09-30T01:58:22Z</dcterms:created>
  <dcterms:modified xmlns:dcterms="http://purl.org/dc/terms/" xmlns:xsi="http://www.w3.org/2001/XMLSchema-instance" xsi:type="dcterms:W3CDTF">2026-09-30T01:58:22Z</dcterms:modified>
</cp:coreProperties>
</file>