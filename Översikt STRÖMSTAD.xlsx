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46231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46231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46231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46231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46231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46231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46231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46231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46231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46231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56318-2025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45974</v>
      </c>
      <c r="E17" s="1" t="n">
        <v>46231</v>
      </c>
      <c r="F17" t="inlineStr">
        <is>
          <t>VÄSTRA GÖTALANDS LÄN</t>
        </is>
      </c>
      <c r="G17" t="inlineStr">
        <is>
          <t>STRÖMSTAD</t>
        </is>
      </c>
      <c r="I17" t="n">
        <v>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Kopparödla</t>
        </is>
      </c>
      <c r="W17">
        <f>HYPERLINK("https://klasma.github.io/Logging_1486/artfynd/A 56318-2025 artfynd.xlsx", "A 56318-2025")</f>
        <v/>
      </c>
      <c r="X17">
        <f>HYPERLINK("https://klasma.github.io/Logging_1486/kartor/A 56318-2025 karta.png", "A 56318-2025")</f>
        <v/>
      </c>
      <c r="Y17">
        <f>HYPERLINK("https://klasma.github.io/Logging_1486/kartor_geotiff/A 56318-2025 georefererad karta.tif", "A 56318-2025")</f>
        <v/>
      </c>
      <c r="AA17">
        <f>HYPERLINK("https://klasma.github.io/Logging_1486/klagomål/A 56318-2025 FSC-klagomål.docx", "A 56318-2025")</f>
        <v/>
      </c>
      <c r="AB17">
        <f>HYPERLINK("https://klasma.github.io/Logging_1486/klagomålsmail/A 56318-2025 FSC-klagomål mail.docx", "A 56318-2025")</f>
        <v/>
      </c>
      <c r="AC17">
        <f>HYPERLINK("https://klasma.github.io/Logging_1486/tillsyn/A 56318-2025 tillsynsbegäran.docx", "A 56318-2025")</f>
        <v/>
      </c>
      <c r="AD17">
        <f>HYPERLINK("https://klasma.github.io/Logging_1486/tillsynsmail/A 56318-2025 tillsynsbegäran mail.docx", "A 56318-2025")</f>
        <v/>
      </c>
      <c r="AE17">
        <f>HYPERLINK("https://klasma.github.io/Logging_1486/fåglar/A 56318-2025 prioriterade fågelarter.docx", "A 56318-2025")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46231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46231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46231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46231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12238-2025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46231</v>
      </c>
      <c r="F22" t="inlineStr">
        <is>
          <t>VÄSTRA GÖTALANDS LÄN</t>
        </is>
      </c>
      <c r="G22" t="inlineStr">
        <is>
          <t>STRÖMSTAD</t>
        </is>
      </c>
      <c r="I22" t="n">
        <v>10.6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HYPERLINK("https://klasma.github.io/Logging_1486/artfynd/A 12238-2025 artfynd.xlsx", "A 12238-2025")</f>
        <v/>
      </c>
      <c r="X22">
        <f>HYPERLINK("https://klasma.github.io/Logging_1486/kartor/A 12238-2025 karta.png", "A 12238-2025")</f>
        <v/>
      </c>
      <c r="Y22">
        <f>HYPERLINK("https://klasma.github.io/Logging_1486/kartor_geotiff/A 12238-2025 georefererad karta.tif", "A 12238-2025")</f>
        <v/>
      </c>
      <c r="AA22">
        <f>HYPERLINK("https://klasma.github.io/Logging_1486/klagomål/A 12238-2025 FSC-klagomål.docx", "A 12238-2025")</f>
        <v/>
      </c>
      <c r="AB22">
        <f>HYPERLINK("https://klasma.github.io/Logging_1486/klagomålsmail/A 12238-2025 FSC-klagomål mail.docx", "A 12238-2025")</f>
        <v/>
      </c>
      <c r="AC22">
        <f>HYPERLINK("https://klasma.github.io/Logging_1486/tillsyn/A 12238-2025 tillsynsbegäran.docx", "A 12238-2025")</f>
        <v/>
      </c>
      <c r="AD22">
        <f>HYPERLINK("https://klasma.github.io/Logging_1486/tillsynsmail/A 12238-2025 tillsynsbegäran mail.docx", "A 12238-2025")</f>
        <v/>
      </c>
      <c r="AE22">
        <f>HYPERLINK("https://klasma.github.io/Logging_1486/fåglar/A 12238-2025 prioriterade fågelarter.docx", "A 12238-2025")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46231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46231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46231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50607-2025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45945</v>
      </c>
      <c r="E26" s="1" t="n">
        <v>46231</v>
      </c>
      <c r="F26" t="inlineStr">
        <is>
          <t>VÄSTRA GÖTALANDS LÄN</t>
        </is>
      </c>
      <c r="G26" t="inlineStr">
        <is>
          <t>STRÖMSTAD</t>
        </is>
      </c>
      <c r="I26" t="n">
        <v>14.5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Vanlig padda</t>
        </is>
      </c>
      <c r="W26">
        <f>HYPERLINK("https://klasma.github.io/Logging_1486/artfynd/A 50607-2025 artfynd.xlsx", "A 50607-2025")</f>
        <v/>
      </c>
      <c r="X26">
        <f>HYPERLINK("https://klasma.github.io/Logging_1486/kartor/A 50607-2025 karta.png", "A 50607-2025")</f>
        <v/>
      </c>
      <c r="Y26">
        <f>HYPERLINK("https://klasma.github.io/Logging_1486/kartor_geotiff/A 50607-2025 georefererad karta.tif", "A 50607-2025")</f>
        <v/>
      </c>
      <c r="AA26">
        <f>HYPERLINK("https://klasma.github.io/Logging_1486/klagomål/A 50607-2025 FSC-klagomål.docx", "A 50607-2025")</f>
        <v/>
      </c>
      <c r="AB26">
        <f>HYPERLINK("https://klasma.github.io/Logging_1486/klagomålsmail/A 50607-2025 FSC-klagomål mail.docx", "A 50607-2025")</f>
        <v/>
      </c>
      <c r="AC26">
        <f>HYPERLINK("https://klasma.github.io/Logging_1486/tillsyn/A 50607-2025 tillsynsbegäran.docx", "A 50607-2025")</f>
        <v/>
      </c>
      <c r="AD26">
        <f>HYPERLINK("https://klasma.github.io/Logging_1486/tillsynsmail/A 50607-2025 tillsynsbegäran mail.docx", "A 50607-2025")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46231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33772-2023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45133</v>
      </c>
      <c r="E28" s="1" t="n">
        <v>46231</v>
      </c>
      <c r="F28" t="inlineStr">
        <is>
          <t>VÄSTRA GÖTALANDS LÄN</t>
        </is>
      </c>
      <c r="G28" t="inlineStr">
        <is>
          <t>STRÖMSTAD</t>
        </is>
      </c>
      <c r="I28" t="n">
        <v>2.2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Entita</t>
        </is>
      </c>
      <c r="W28">
        <f>HYPERLINK("https://klasma.github.io/Logging_1486/artfynd/A 33772-2023 artfynd.xlsx", "A 33772-2023")</f>
        <v/>
      </c>
      <c r="X28">
        <f>HYPERLINK("https://klasma.github.io/Logging_1486/kartor/A 33772-2023 karta.png", "A 33772-2023")</f>
        <v/>
      </c>
      <c r="Y28">
        <f>HYPERLINK("https://klasma.github.io/Logging_1486/kartor_geotiff/A 33772-2023 georefererad karta.tif", "A 33772-2023")</f>
        <v/>
      </c>
      <c r="AA28">
        <f>HYPERLINK("https://klasma.github.io/Logging_1486/klagomål/A 33772-2023 FSC-klagomål.docx", "A 33772-2023")</f>
        <v/>
      </c>
      <c r="AB28">
        <f>HYPERLINK("https://klasma.github.io/Logging_1486/klagomålsmail/A 33772-2023 FSC-klagomål mail.docx", "A 33772-2023")</f>
        <v/>
      </c>
      <c r="AC28">
        <f>HYPERLINK("https://klasma.github.io/Logging_1486/tillsyn/A 33772-2023 tillsynsbegäran.docx", "A 33772-2023")</f>
        <v/>
      </c>
      <c r="AD28">
        <f>HYPERLINK("https://klasma.github.io/Logging_1486/tillsynsmail/A 33772-2023 tillsynsbegäran mail.docx", "A 33772-2023")</f>
        <v/>
      </c>
      <c r="AE28">
        <f>HYPERLINK("https://klasma.github.io/Logging_1486/fåglar/A 33772-2023 prioriterade fågelarter.docx", "A 33772-2023")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46231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46231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46231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46231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46231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46231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46231</v>
      </c>
      <c r="F39" t="inlineStr">
        <is>
          <t>VÄSTRA GÖTALANDS LÄN</t>
        </is>
      </c>
      <c r="G39" t="inlineStr">
        <is>
          <t>STRÖMSTAD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46231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46231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46231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46231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46231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46231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46231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46231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46231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46231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46231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46231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46231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46231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46231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46231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46231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46231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46231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46231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46231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46231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44435</v>
      </c>
      <c r="E62" s="1" t="n">
        <v>46231</v>
      </c>
      <c r="F62" t="inlineStr">
        <is>
          <t>VÄSTRA GÖTALANDS LÄN</t>
        </is>
      </c>
      <c r="G62" t="inlineStr">
        <is>
          <t>STRÖMSTAD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46231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46029</v>
      </c>
      <c r="E64" s="1" t="n">
        <v>46231</v>
      </c>
      <c r="F64" t="inlineStr">
        <is>
          <t>VÄSTRA GÖTALANDS LÄN</t>
        </is>
      </c>
      <c r="G64" t="inlineStr">
        <is>
          <t>STRÖMSTAD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46231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46231</v>
      </c>
      <c r="F66" t="inlineStr">
        <is>
          <t>VÄSTRA GÖTALANDS LÄN</t>
        </is>
      </c>
      <c r="G66" t="inlineStr">
        <is>
          <t>STRÖMSTAD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46231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46231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46231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44649</v>
      </c>
      <c r="E70" s="1" t="n">
        <v>46231</v>
      </c>
      <c r="F70" t="inlineStr">
        <is>
          <t>VÄSTRA GÖTALANDS LÄN</t>
        </is>
      </c>
      <c r="G70" t="inlineStr">
        <is>
          <t>STRÖMSTAD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46035</v>
      </c>
      <c r="E71" s="1" t="n">
        <v>46231</v>
      </c>
      <c r="F71" t="inlineStr">
        <is>
          <t>VÄSTRA GÖTALANDS LÄN</t>
        </is>
      </c>
      <c r="G71" t="inlineStr">
        <is>
          <t>STRÖMSTAD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46036</v>
      </c>
      <c r="E72" s="1" t="n">
        <v>46231</v>
      </c>
      <c r="F72" t="inlineStr">
        <is>
          <t>VÄSTRA GÖTALANDS LÄN</t>
        </is>
      </c>
      <c r="G72" t="inlineStr">
        <is>
          <t>STRÖMSTAD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46036</v>
      </c>
      <c r="E73" s="1" t="n">
        <v>46231</v>
      </c>
      <c r="F73" t="inlineStr">
        <is>
          <t>VÄSTRA GÖTALANDS LÄN</t>
        </is>
      </c>
      <c r="G73" t="inlineStr">
        <is>
          <t>STRÖMSTAD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45018</v>
      </c>
      <c r="E74" s="1" t="n">
        <v>46231</v>
      </c>
      <c r="F74" t="inlineStr">
        <is>
          <t>VÄSTRA GÖTALANDS LÄN</t>
        </is>
      </c>
      <c r="G74" t="inlineStr">
        <is>
          <t>STRÖMSTAD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46055</v>
      </c>
      <c r="E75" s="1" t="n">
        <v>46231</v>
      </c>
      <c r="F75" t="inlineStr">
        <is>
          <t>VÄSTRA GÖTALANDS LÄN</t>
        </is>
      </c>
      <c r="G75" t="inlineStr">
        <is>
          <t>STRÖMSTAD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46231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7545-2026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46231</v>
      </c>
      <c r="F77" t="inlineStr">
        <is>
          <t>VÄSTRA GÖTALANDS LÄN</t>
        </is>
      </c>
      <c r="G77" t="inlineStr">
        <is>
          <t>STRÖMSTAD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46063</v>
      </c>
      <c r="E78" s="1" t="n">
        <v>46231</v>
      </c>
      <c r="F78" t="inlineStr">
        <is>
          <t>VÄSTRA GÖTALANDS LÄN</t>
        </is>
      </c>
      <c r="G78" t="inlineStr">
        <is>
          <t>STRÖMSTAD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46063</v>
      </c>
      <c r="E79" s="1" t="n">
        <v>46231</v>
      </c>
      <c r="F79" t="inlineStr">
        <is>
          <t>VÄSTRA GÖTALANDS LÄN</t>
        </is>
      </c>
      <c r="G79" t="inlineStr">
        <is>
          <t>STRÖMSTAD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8058-2026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46063</v>
      </c>
      <c r="E80" s="1" t="n">
        <v>46231</v>
      </c>
      <c r="F80" t="inlineStr">
        <is>
          <t>VÄSTRA GÖTALANDS LÄN</t>
        </is>
      </c>
      <c r="G80" t="inlineStr">
        <is>
          <t>STRÖMSTAD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46231</v>
      </c>
      <c r="F81" t="inlineStr">
        <is>
          <t>VÄSTRA GÖTALANDS LÄN</t>
        </is>
      </c>
      <c r="G81" t="inlineStr">
        <is>
          <t>STRÖMSTAD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46231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46231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46231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46231</v>
      </c>
      <c r="F85" t="inlineStr">
        <is>
          <t>VÄSTRA GÖTALANDS LÄN</t>
        </is>
      </c>
      <c r="G85" t="inlineStr">
        <is>
          <t>STRÖMSTAD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46231</v>
      </c>
      <c r="F86" t="inlineStr">
        <is>
          <t>VÄSTRA GÖTALANDS LÄN</t>
        </is>
      </c>
      <c r="G86" t="inlineStr">
        <is>
          <t>STRÖMSTAD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46231</v>
      </c>
      <c r="F87" t="inlineStr">
        <is>
          <t>VÄSTRA GÖTALANDS LÄN</t>
        </is>
      </c>
      <c r="G87" t="inlineStr">
        <is>
          <t>STRÖMSTAD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46231</v>
      </c>
      <c r="F88" t="inlineStr">
        <is>
          <t>VÄSTRA GÖTALANDS LÄN</t>
        </is>
      </c>
      <c r="G88" t="inlineStr">
        <is>
          <t>STRÖMSTAD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10850-2026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46231</v>
      </c>
      <c r="F89" t="inlineStr">
        <is>
          <t>VÄSTRA GÖTALANDS LÄN</t>
        </is>
      </c>
      <c r="G89" t="inlineStr">
        <is>
          <t>STRÖMSTAD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46231</v>
      </c>
      <c r="F90" t="inlineStr">
        <is>
          <t>VÄSTRA GÖTALANDS LÄN</t>
        </is>
      </c>
      <c r="G90" t="inlineStr">
        <is>
          <t>STRÖMSTAD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46231</v>
      </c>
      <c r="F91" t="inlineStr">
        <is>
          <t>VÄSTRA GÖTALANDS LÄN</t>
        </is>
      </c>
      <c r="G91" t="inlineStr">
        <is>
          <t>STRÖMSTAD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45750</v>
      </c>
      <c r="E92" s="1" t="n">
        <v>46231</v>
      </c>
      <c r="F92" t="inlineStr">
        <is>
          <t>VÄSTRA GÖTALANDS LÄN</t>
        </is>
      </c>
      <c r="G92" t="inlineStr">
        <is>
          <t>STRÖMSTAD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46231</v>
      </c>
      <c r="F93" t="inlineStr">
        <is>
          <t>VÄSTRA GÖTALANDS LÄN</t>
        </is>
      </c>
      <c r="G93" t="inlineStr">
        <is>
          <t>STRÖMSTAD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14456-2026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46231</v>
      </c>
      <c r="F94" t="inlineStr">
        <is>
          <t>VÄSTRA GÖTALANDS LÄN</t>
        </is>
      </c>
      <c r="G94" t="inlineStr">
        <is>
          <t>STRÖMSTAD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46231</v>
      </c>
      <c r="F95" t="inlineStr">
        <is>
          <t>VÄSTRA GÖTALANDS LÄN</t>
        </is>
      </c>
      <c r="G95" t="inlineStr">
        <is>
          <t>STRÖMSTAD</t>
        </is>
      </c>
      <c r="H95" t="inlineStr">
        <is>
          <t>Kommuner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46231</v>
      </c>
      <c r="F96" t="inlineStr">
        <is>
          <t>VÄSTRA GÖTALANDS LÄN</t>
        </is>
      </c>
      <c r="G96" t="inlineStr">
        <is>
          <t>STRÖMSTAD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46231</v>
      </c>
      <c r="F97" t="inlineStr">
        <is>
          <t>VÄSTRA GÖTALANDS LÄN</t>
        </is>
      </c>
      <c r="G97" t="inlineStr">
        <is>
          <t>STRÖMSTAD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44987</v>
      </c>
      <c r="E98" s="1" t="n">
        <v>46231</v>
      </c>
      <c r="F98" t="inlineStr">
        <is>
          <t>VÄSTRA GÖTALANDS LÄN</t>
        </is>
      </c>
      <c r="G98" t="inlineStr">
        <is>
          <t>STRÖMSTAD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46231</v>
      </c>
      <c r="F99" t="inlineStr">
        <is>
          <t>VÄSTRA GÖTALANDS LÄN</t>
        </is>
      </c>
      <c r="G99" t="inlineStr">
        <is>
          <t>STRÖMSTAD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46231</v>
      </c>
      <c r="F100" t="inlineStr">
        <is>
          <t>VÄSTRA GÖTALANDS LÄN</t>
        </is>
      </c>
      <c r="G100" t="inlineStr">
        <is>
          <t>STRÖMSTAD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46231</v>
      </c>
      <c r="F101" t="inlineStr">
        <is>
          <t>VÄSTRA GÖTALANDS LÄN</t>
        </is>
      </c>
      <c r="G101" t="inlineStr">
        <is>
          <t>STRÖMSTAD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45033</v>
      </c>
      <c r="E102" s="1" t="n">
        <v>46231</v>
      </c>
      <c r="F102" t="inlineStr">
        <is>
          <t>VÄSTRA GÖTALANDS LÄN</t>
        </is>
      </c>
      <c r="G102" t="inlineStr">
        <is>
          <t>STRÖMSTAD</t>
        </is>
      </c>
      <c r="H102" t="inlineStr">
        <is>
          <t>Kommuner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46231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45133</v>
      </c>
      <c r="E104" s="1" t="n">
        <v>46231</v>
      </c>
      <c r="F104" t="inlineStr">
        <is>
          <t>VÄSTRA GÖTALANDS LÄN</t>
        </is>
      </c>
      <c r="G104" t="inlineStr">
        <is>
          <t>STRÖMSTAD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14833-2026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46103</v>
      </c>
      <c r="E105" s="1" t="n">
        <v>46231</v>
      </c>
      <c r="F105" t="inlineStr">
        <is>
          <t>VÄSTRA GÖTALANDS LÄN</t>
        </is>
      </c>
      <c r="G105" t="inlineStr">
        <is>
          <t>STRÖMSTAD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46231</v>
      </c>
      <c r="F106" t="inlineStr">
        <is>
          <t>VÄSTRA GÖTALANDS LÄN</t>
        </is>
      </c>
      <c r="G106" t="inlineStr">
        <is>
          <t>STRÖMSTAD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46231</v>
      </c>
      <c r="F107" t="inlineStr">
        <is>
          <t>VÄSTRA GÖTALANDS LÄN</t>
        </is>
      </c>
      <c r="G107" t="inlineStr">
        <is>
          <t>STRÖMSTAD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46231</v>
      </c>
      <c r="F108" t="inlineStr">
        <is>
          <t>VÄSTRA GÖTALANDS LÄN</t>
        </is>
      </c>
      <c r="G108" t="inlineStr">
        <is>
          <t>STRÖMSTAD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45750</v>
      </c>
      <c r="E109" s="1" t="n">
        <v>46231</v>
      </c>
      <c r="F109" t="inlineStr">
        <is>
          <t>VÄSTRA GÖTALANDS LÄN</t>
        </is>
      </c>
      <c r="G109" t="inlineStr">
        <is>
          <t>STRÖMSTAD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46231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45057</v>
      </c>
      <c r="E111" s="1" t="n">
        <v>46231</v>
      </c>
      <c r="F111" t="inlineStr">
        <is>
          <t>VÄSTRA GÖTALANDS LÄN</t>
        </is>
      </c>
      <c r="G111" t="inlineStr">
        <is>
          <t>STRÖMSTAD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19134-2025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45764</v>
      </c>
      <c r="E112" s="1" t="n">
        <v>46231</v>
      </c>
      <c r="F112" t="inlineStr">
        <is>
          <t>VÄSTRA GÖTALANDS LÄN</t>
        </is>
      </c>
      <c r="G112" t="inlineStr">
        <is>
          <t>STRÖMSTAD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46231</v>
      </c>
      <c r="F113" t="inlineStr">
        <is>
          <t>VÄSTRA GÖTALANDS LÄN</t>
        </is>
      </c>
      <c r="G113" t="inlineStr">
        <is>
          <t>STRÖMSTAD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46231</v>
      </c>
      <c r="F114" t="inlineStr">
        <is>
          <t>VÄSTRA GÖTALANDS LÄN</t>
        </is>
      </c>
      <c r="G114" t="inlineStr">
        <is>
          <t>STRÖMSTAD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46231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46231</v>
      </c>
      <c r="F116" t="inlineStr">
        <is>
          <t>VÄSTRA GÖTALANDS LÄN</t>
        </is>
      </c>
      <c r="G116" t="inlineStr">
        <is>
          <t>STRÖMSTAD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46231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46231</v>
      </c>
      <c r="F118" t="inlineStr">
        <is>
          <t>VÄSTRA GÖTALANDS LÄN</t>
        </is>
      </c>
      <c r="G118" t="inlineStr">
        <is>
          <t>STRÖMSTAD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46231</v>
      </c>
      <c r="F119" t="inlineStr">
        <is>
          <t>VÄSTRA GÖTALANDS LÄN</t>
        </is>
      </c>
      <c r="G119" t="inlineStr">
        <is>
          <t>STRÖMSTAD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46231</v>
      </c>
      <c r="F120" t="inlineStr">
        <is>
          <t>VÄSTRA GÖTALANDS LÄN</t>
        </is>
      </c>
      <c r="G120" t="inlineStr">
        <is>
          <t>STRÖMSTAD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46231</v>
      </c>
      <c r="F121" t="inlineStr">
        <is>
          <t>VÄSTRA GÖTALANDS LÄN</t>
        </is>
      </c>
      <c r="G121" t="inlineStr">
        <is>
          <t>STRÖMSTAD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45876</v>
      </c>
      <c r="E122" s="1" t="n">
        <v>46231</v>
      </c>
      <c r="F122" t="inlineStr">
        <is>
          <t>VÄSTRA GÖTALANDS LÄN</t>
        </is>
      </c>
      <c r="G122" t="inlineStr">
        <is>
          <t>STRÖMSTAD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46142</v>
      </c>
      <c r="E123" s="1" t="n">
        <v>46231</v>
      </c>
      <c r="F123" t="inlineStr">
        <is>
          <t>VÄSTRA GÖTALANDS LÄN</t>
        </is>
      </c>
      <c r="G123" t="inlineStr">
        <is>
          <t>STRÖMSTAD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46231</v>
      </c>
      <c r="F124" t="inlineStr">
        <is>
          <t>VÄSTRA GÖTALANDS LÄN</t>
        </is>
      </c>
      <c r="G124" t="inlineStr">
        <is>
          <t>STRÖMSTAD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46231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45316</v>
      </c>
      <c r="E126" s="1" t="n">
        <v>46231</v>
      </c>
      <c r="F126" t="inlineStr">
        <is>
          <t>VÄSTRA GÖTALANDS LÄN</t>
        </is>
      </c>
      <c r="G126" t="inlineStr">
        <is>
          <t>STRÖMSTAD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46150</v>
      </c>
      <c r="E127" s="1" t="n">
        <v>46231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46231</v>
      </c>
      <c r="F128" t="inlineStr">
        <is>
          <t>VÄSTRA GÖTALANDS LÄN</t>
        </is>
      </c>
      <c r="G128" t="inlineStr">
        <is>
          <t>STRÖMSTAD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46231</v>
      </c>
      <c r="F129" t="inlineStr">
        <is>
          <t>VÄSTRA GÖTALANDS LÄN</t>
        </is>
      </c>
      <c r="G129" t="inlineStr">
        <is>
          <t>STRÖMSTAD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21755-2026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46231</v>
      </c>
      <c r="F130" t="inlineStr">
        <is>
          <t>VÄSTRA GÖTALANDS LÄN</t>
        </is>
      </c>
      <c r="G130" t="inlineStr">
        <is>
          <t>STRÖMSTAD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46150</v>
      </c>
      <c r="E131" s="1" t="n">
        <v>46231</v>
      </c>
      <c r="F131" t="inlineStr">
        <is>
          <t>VÄSTRA GÖTALANDS LÄN</t>
        </is>
      </c>
      <c r="G131" t="inlineStr">
        <is>
          <t>STRÖMSTAD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46231</v>
      </c>
      <c r="F132" t="inlineStr">
        <is>
          <t>VÄSTRA GÖTALANDS LÄN</t>
        </is>
      </c>
      <c r="G132" t="inlineStr">
        <is>
          <t>STRÖMSTAD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46231</v>
      </c>
      <c r="F133" t="inlineStr">
        <is>
          <t>VÄSTRA GÖTALANDS LÄN</t>
        </is>
      </c>
      <c r="G133" t="inlineStr">
        <is>
          <t>STRÖMSTAD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46231</v>
      </c>
      <c r="F134" t="inlineStr">
        <is>
          <t>VÄSTRA GÖTALANDS LÄN</t>
        </is>
      </c>
      <c r="G134" t="inlineStr">
        <is>
          <t>STRÖMSTAD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46231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46196</v>
      </c>
      <c r="E136" s="1" t="n">
        <v>46231</v>
      </c>
      <c r="F136" t="inlineStr">
        <is>
          <t>VÄSTRA GÖTALANDS LÄN</t>
        </is>
      </c>
      <c r="G136" t="inlineStr">
        <is>
          <t>STRÖMSTAD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46231</v>
      </c>
      <c r="F137" t="inlineStr">
        <is>
          <t>VÄSTRA GÖTALANDS LÄN</t>
        </is>
      </c>
      <c r="G137" t="inlineStr">
        <is>
          <t>STRÖMSTAD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46231</v>
      </c>
      <c r="F138" t="inlineStr">
        <is>
          <t>VÄSTRA GÖTALANDS LÄN</t>
        </is>
      </c>
      <c r="G138" t="inlineStr">
        <is>
          <t>STRÖMSTAD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46156</v>
      </c>
      <c r="E139" s="1" t="n">
        <v>46231</v>
      </c>
      <c r="F139" t="inlineStr">
        <is>
          <t>VÄSTRA GÖTALANDS LÄN</t>
        </is>
      </c>
      <c r="G139" t="inlineStr">
        <is>
          <t>STRÖMSTAD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44886</v>
      </c>
      <c r="E140" s="1" t="n">
        <v>46231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46231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46231</v>
      </c>
      <c r="F142" t="inlineStr">
        <is>
          <t>VÄSTRA GÖTALANDS LÄN</t>
        </is>
      </c>
      <c r="G142" t="inlineStr">
        <is>
          <t>STRÖMSTAD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46231</v>
      </c>
      <c r="F143" t="inlineStr">
        <is>
          <t>VÄSTRA GÖTALANDS LÄN</t>
        </is>
      </c>
      <c r="G143" t="inlineStr">
        <is>
          <t>STRÖMSTAD</t>
        </is>
      </c>
      <c r="H143" t="inlineStr">
        <is>
          <t>Övriga Aktiebolag</t>
        </is>
      </c>
      <c r="I143" t="n">
        <v>14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45482</v>
      </c>
      <c r="E144" s="1" t="n">
        <v>46231</v>
      </c>
      <c r="F144" t="inlineStr">
        <is>
          <t>VÄSTRA GÖTALANDS LÄN</t>
        </is>
      </c>
      <c r="G144" t="inlineStr">
        <is>
          <t>STRÖMSTAD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46231</v>
      </c>
      <c r="F145" t="inlineStr">
        <is>
          <t>VÄSTRA GÖTALANDS LÄN</t>
        </is>
      </c>
      <c r="G145" t="inlineStr">
        <is>
          <t>STRÖMSTAD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46231</v>
      </c>
      <c r="F146" t="inlineStr">
        <is>
          <t>VÄSTRA GÖTALANDS LÄN</t>
        </is>
      </c>
      <c r="G146" t="inlineStr">
        <is>
          <t>STRÖMSTAD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46231</v>
      </c>
      <c r="F147" t="inlineStr">
        <is>
          <t>VÄSTRA GÖTALANDS LÄN</t>
        </is>
      </c>
      <c r="G147" t="inlineStr">
        <is>
          <t>STRÖMSTAD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46231</v>
      </c>
      <c r="F148" t="inlineStr">
        <is>
          <t>VÄSTRA GÖTALANDS LÄN</t>
        </is>
      </c>
      <c r="G148" t="inlineStr">
        <is>
          <t>STRÖMSTAD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44603</v>
      </c>
      <c r="E149" s="1" t="n">
        <v>46231</v>
      </c>
      <c r="F149" t="inlineStr">
        <is>
          <t>VÄSTRA GÖTALANDS LÄN</t>
        </is>
      </c>
      <c r="G149" t="inlineStr">
        <is>
          <t>STRÖMSTAD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46204</v>
      </c>
      <c r="E150" s="1" t="n">
        <v>46231</v>
      </c>
      <c r="F150" t="inlineStr">
        <is>
          <t>VÄSTRA GÖTALANDS LÄN</t>
        </is>
      </c>
      <c r="G150" t="inlineStr">
        <is>
          <t>STRÖMSTAD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46231</v>
      </c>
      <c r="F151" t="inlineStr">
        <is>
          <t>VÄSTRA GÖTALANDS LÄN</t>
        </is>
      </c>
      <c r="G151" t="inlineStr">
        <is>
          <t>STRÖMSTAD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46231</v>
      </c>
      <c r="F152" t="inlineStr">
        <is>
          <t>VÄSTRA GÖTALANDS LÄN</t>
        </is>
      </c>
      <c r="G152" t="inlineStr">
        <is>
          <t>STRÖMSTAD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67875-2021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44525</v>
      </c>
      <c r="E153" s="1" t="n">
        <v>46231</v>
      </c>
      <c r="F153" t="inlineStr">
        <is>
          <t>VÄSTRA GÖTALANDS LÄN</t>
        </is>
      </c>
      <c r="G153" t="inlineStr">
        <is>
          <t>STRÖMSTAD</t>
        </is>
      </c>
      <c r="I153" t="n">
        <v>15.5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46231</v>
      </c>
      <c r="F154" t="inlineStr">
        <is>
          <t>VÄSTRA GÖTALANDS LÄN</t>
        </is>
      </c>
      <c r="G154" t="inlineStr">
        <is>
          <t>STRÖMSTAD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46231</v>
      </c>
      <c r="F155" t="inlineStr">
        <is>
          <t>VÄSTRA GÖTALANDS LÄN</t>
        </is>
      </c>
      <c r="G155" t="inlineStr">
        <is>
          <t>STRÖMSTAD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46231</v>
      </c>
      <c r="F156" t="inlineStr">
        <is>
          <t>VÄSTRA GÖTALANDS LÄN</t>
        </is>
      </c>
      <c r="G156" t="inlineStr">
        <is>
          <t>STRÖMSTAD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46231</v>
      </c>
      <c r="F157" t="inlineStr">
        <is>
          <t>VÄSTRA GÖTALANDS LÄN</t>
        </is>
      </c>
      <c r="G157" t="inlineStr">
        <is>
          <t>STRÖMSTAD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46231</v>
      </c>
      <c r="F158" t="inlineStr">
        <is>
          <t>VÄSTRA GÖTALANDS LÄN</t>
        </is>
      </c>
      <c r="G158" t="inlineStr">
        <is>
          <t>STRÖMSTAD</t>
        </is>
      </c>
      <c r="I158" t="n">
        <v>14.5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46231</v>
      </c>
      <c r="F159" t="inlineStr">
        <is>
          <t>VÄSTRA GÖTALANDS LÄN</t>
        </is>
      </c>
      <c r="G159" t="inlineStr">
        <is>
          <t>STRÖMSTAD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46231</v>
      </c>
      <c r="F160" t="inlineStr">
        <is>
          <t>VÄSTRA GÖTALANDS LÄN</t>
        </is>
      </c>
      <c r="G160" t="inlineStr">
        <is>
          <t>STRÖMSTAD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46231</v>
      </c>
      <c r="F161" t="inlineStr">
        <is>
          <t>VÄSTRA GÖTALANDS LÄN</t>
        </is>
      </c>
      <c r="G161" t="inlineStr">
        <is>
          <t>STRÖMSTAD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8047-2024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45351</v>
      </c>
      <c r="E162" s="1" t="n">
        <v>46231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46231</v>
      </c>
      <c r="F163" t="inlineStr">
        <is>
          <t>VÄSTRA GÖTALANDS LÄN</t>
        </is>
      </c>
      <c r="G163" t="inlineStr">
        <is>
          <t>STRÖMSTAD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25884-2023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46231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46231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46231</v>
      </c>
      <c r="F166" t="inlineStr">
        <is>
          <t>VÄSTRA GÖTALANDS LÄN</t>
        </is>
      </c>
      <c r="G166" t="inlineStr">
        <is>
          <t>STRÖMSTAD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44701</v>
      </c>
      <c r="E167" s="1" t="n">
        <v>46231</v>
      </c>
      <c r="F167" t="inlineStr">
        <is>
          <t>VÄSTRA GÖTALANDS LÄN</t>
        </is>
      </c>
      <c r="G167" t="inlineStr">
        <is>
          <t>STRÖMSTAD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46231</v>
      </c>
      <c r="F168" t="inlineStr">
        <is>
          <t>VÄSTRA GÖTALANDS LÄN</t>
        </is>
      </c>
      <c r="G168" t="inlineStr">
        <is>
          <t>STRÖMSTAD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46231</v>
      </c>
      <c r="F169" t="inlineStr">
        <is>
          <t>VÄSTRA GÖTALANDS LÄN</t>
        </is>
      </c>
      <c r="G169" t="inlineStr">
        <is>
          <t>STRÖMSTAD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46231</v>
      </c>
      <c r="F170" t="inlineStr">
        <is>
          <t>VÄSTRA GÖTALANDS LÄN</t>
        </is>
      </c>
      <c r="G170" t="inlineStr">
        <is>
          <t>STRÖMSTAD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45318</v>
      </c>
      <c r="E171" s="1" t="n">
        <v>46231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Kommuner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46231</v>
      </c>
      <c r="F172" t="inlineStr">
        <is>
          <t>VÄSTRA GÖTALANDS LÄN</t>
        </is>
      </c>
      <c r="G172" t="inlineStr">
        <is>
          <t>STRÖMSTAD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45232</v>
      </c>
      <c r="E173" s="1" t="n">
        <v>46231</v>
      </c>
      <c r="F173" t="inlineStr">
        <is>
          <t>VÄSTRA GÖTALANDS LÄN</t>
        </is>
      </c>
      <c r="G173" t="inlineStr">
        <is>
          <t>STRÖMSTAD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46231</v>
      </c>
      <c r="F174" t="inlineStr">
        <is>
          <t>VÄSTRA GÖTALANDS LÄN</t>
        </is>
      </c>
      <c r="G174" t="inlineStr">
        <is>
          <t>STRÖMSTAD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45301</v>
      </c>
      <c r="E175" s="1" t="n">
        <v>46231</v>
      </c>
      <c r="F175" t="inlineStr">
        <is>
          <t>VÄSTRA GÖTALANDS LÄN</t>
        </is>
      </c>
      <c r="G175" t="inlineStr">
        <is>
          <t>STRÖMSTAD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46231</v>
      </c>
      <c r="F176" t="inlineStr">
        <is>
          <t>VÄSTRA GÖTALANDS LÄN</t>
        </is>
      </c>
      <c r="G176" t="inlineStr">
        <is>
          <t>STRÖMSTAD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46231</v>
      </c>
      <c r="F177" t="inlineStr">
        <is>
          <t>VÄSTRA GÖTALANDS LÄN</t>
        </is>
      </c>
      <c r="G177" t="inlineStr">
        <is>
          <t>STRÖMSTAD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44892</v>
      </c>
      <c r="E178" s="1" t="n">
        <v>46231</v>
      </c>
      <c r="F178" t="inlineStr">
        <is>
          <t>VÄSTRA GÖTALANDS LÄN</t>
        </is>
      </c>
      <c r="G178" t="inlineStr">
        <is>
          <t>STRÖMSTAD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45019</v>
      </c>
      <c r="E179" s="1" t="n">
        <v>46231</v>
      </c>
      <c r="F179" t="inlineStr">
        <is>
          <t>VÄSTRA GÖTALANDS LÄN</t>
        </is>
      </c>
      <c r="G179" t="inlineStr">
        <is>
          <t>STRÖMSTAD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44621</v>
      </c>
      <c r="E180" s="1" t="n">
        <v>46231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46231</v>
      </c>
      <c r="F181" t="inlineStr">
        <is>
          <t>VÄSTRA GÖTALANDS LÄN</t>
        </is>
      </c>
      <c r="G181" t="inlineStr">
        <is>
          <t>STRÖMSTAD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46231</v>
      </c>
      <c r="F182" t="inlineStr">
        <is>
          <t>VÄSTRA GÖTALANDS LÄN</t>
        </is>
      </c>
      <c r="G182" t="inlineStr">
        <is>
          <t>STRÖMSTAD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46231</v>
      </c>
      <c r="F183" t="inlineStr">
        <is>
          <t>VÄSTRA GÖTALANDS LÄN</t>
        </is>
      </c>
      <c r="G183" t="inlineStr">
        <is>
          <t>STRÖMSTAD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46231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46231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46231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46231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44883-2021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46231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46231</v>
      </c>
      <c r="F189" t="inlineStr">
        <is>
          <t>VÄSTRA GÖTALANDS LÄN</t>
        </is>
      </c>
      <c r="G189" t="inlineStr">
        <is>
          <t>STRÖMSTAD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46231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46231</v>
      </c>
      <c r="F191" t="inlineStr">
        <is>
          <t>VÄSTRA GÖTALANDS LÄN</t>
        </is>
      </c>
      <c r="G191" t="inlineStr">
        <is>
          <t>STRÖMSTAD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46231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46231</v>
      </c>
      <c r="F193" t="inlineStr">
        <is>
          <t>VÄSTRA GÖTALANDS LÄN</t>
        </is>
      </c>
      <c r="G193" t="inlineStr">
        <is>
          <t>STRÖMSTAD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46231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46231</v>
      </c>
      <c r="F195" t="inlineStr">
        <is>
          <t>VÄSTRA GÖTALANDS LÄN</t>
        </is>
      </c>
      <c r="G195" t="inlineStr">
        <is>
          <t>STRÖMSTAD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46231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46231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46231</v>
      </c>
      <c r="F198" t="inlineStr">
        <is>
          <t>VÄSTRA GÖTALANDS LÄN</t>
        </is>
      </c>
      <c r="G198" t="inlineStr">
        <is>
          <t>STRÖMSTAD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46231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46231</v>
      </c>
      <c r="F200" t="inlineStr">
        <is>
          <t>VÄSTRA GÖTALANDS LÄN</t>
        </is>
      </c>
      <c r="G200" t="inlineStr">
        <is>
          <t>STRÖMSTAD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46231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46231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46231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46231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46231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46231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46231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46231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46231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46231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2026-07-28T01:51:40Z</dcterms:created>
  <dcterms:modified xmlns:dcterms="http://purl.org/dc/terms/" xmlns:xsi="http://www.w3.org/2001/XMLSchema-instance" xsi:type="dcterms:W3CDTF">2026-07-28T01:51:41Z</dcterms:modified>
</cp:coreProperties>
</file>