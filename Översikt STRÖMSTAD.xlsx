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46002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46002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46002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46002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46002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46002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46002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50437-2025</t>
        </is>
      </c>
      <c r="B9" s="1" t="n">
        <v>45944.71523148148</v>
      </c>
      <c r="C9" s="1" t="n">
        <v>46002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Blåmossa</t>
        </is>
      </c>
      <c r="S9">
        <f>HYPERLINK("https://klasma.github.io/Logging_1486/artfynd/A 50437-2025 artfynd.xlsx", "A 50437-2025")</f>
        <v/>
      </c>
      <c r="T9">
        <f>HYPERLINK("https://klasma.github.io/Logging_1486/kartor/A 50437-2025 karta.png", "A 50437-2025")</f>
        <v/>
      </c>
      <c r="V9">
        <f>HYPERLINK("https://klasma.github.io/Logging_1486/klagomål/A 50437-2025 FSC-klagomål.docx", "A 50437-2025")</f>
        <v/>
      </c>
      <c r="W9">
        <f>HYPERLINK("https://klasma.github.io/Logging_1486/klagomålsmail/A 50437-2025 FSC-klagomål mail.docx", "A 50437-2025")</f>
        <v/>
      </c>
      <c r="X9">
        <f>HYPERLINK("https://klasma.github.io/Logging_1486/tillsyn/A 50437-2025 tillsynsbegäran.docx", "A 50437-2025")</f>
        <v/>
      </c>
      <c r="Y9">
        <f>HYPERLINK("https://klasma.github.io/Logging_1486/tillsynsmail/A 50437-2025 tillsynsbegäran mail.docx", "A 50437-2025")</f>
        <v/>
      </c>
      <c r="Z9">
        <f>HYPERLINK("https://klasma.github.io/Logging_1486/fåglar/A 50437-2025 prioriterade fågelarter.docx", "A 50437-2025")</f>
        <v/>
      </c>
    </row>
    <row r="10" ht="15" customHeight="1">
      <c r="A10" t="inlineStr">
        <is>
          <t>A 6043-2024</t>
        </is>
      </c>
      <c r="B10" s="1" t="n">
        <v>45336</v>
      </c>
      <c r="C10" s="1" t="n">
        <v>46002</v>
      </c>
      <c r="D10" t="inlineStr">
        <is>
          <t>VÄSTRA GÖTALANDS LÄN</t>
        </is>
      </c>
      <c r="E10" t="inlineStr">
        <is>
          <t>STRÖMSTAD</t>
        </is>
      </c>
      <c r="G10" t="n">
        <v>0.7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Revlummer</t>
        </is>
      </c>
      <c r="S10">
        <f>HYPERLINK("https://klasma.github.io/Logging_1486/artfynd/A 6043-2024 artfynd.xlsx", "A 6043-2024")</f>
        <v/>
      </c>
      <c r="T10">
        <f>HYPERLINK("https://klasma.github.io/Logging_1486/kartor/A 6043-2024 karta.png", "A 6043-2024")</f>
        <v/>
      </c>
      <c r="U10">
        <f>HYPERLINK("https://klasma.github.io/Logging_1486/knärot/A 6043-2024 karta knärot.png", "A 6043-2024")</f>
        <v/>
      </c>
      <c r="V10">
        <f>HYPERLINK("https://klasma.github.io/Logging_1486/klagomål/A 6043-2024 FSC-klagomål.docx", "A 6043-2024")</f>
        <v/>
      </c>
      <c r="W10">
        <f>HYPERLINK("https://klasma.github.io/Logging_1486/klagomålsmail/A 6043-2024 FSC-klagomål mail.docx", "A 6043-2024")</f>
        <v/>
      </c>
      <c r="X10">
        <f>HYPERLINK("https://klasma.github.io/Logging_1486/tillsyn/A 6043-2024 tillsynsbegäran.docx", "A 6043-2024")</f>
        <v/>
      </c>
      <c r="Y10">
        <f>HYPERLINK("https://klasma.github.io/Logging_1486/tillsynsmail/A 6043-2024 tillsynsbegäran mail.docx", "A 6043-2024")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46002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46002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46002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46002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46002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46002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46002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46002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46002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46002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14105-2022</t>
        </is>
      </c>
      <c r="B21" s="1" t="n">
        <v>44651</v>
      </c>
      <c r="C21" s="1" t="n">
        <v>46002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46002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46002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46002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46002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46002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46002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46002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46002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46002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46002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46002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46002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46002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46002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46002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46002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46002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46002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14549-2021</t>
        </is>
      </c>
      <c r="B40" s="1" t="n">
        <v>44279</v>
      </c>
      <c r="C40" s="1" t="n">
        <v>46002</v>
      </c>
      <c r="D40" t="inlineStr">
        <is>
          <t>VÄSTRA GÖTALANDS LÄN</t>
        </is>
      </c>
      <c r="E40" t="inlineStr">
        <is>
          <t>STRÖMSTAD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46002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46002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46002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46002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46002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46002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46002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1352-2021</t>
        </is>
      </c>
      <c r="B48" s="1" t="n">
        <v>44208</v>
      </c>
      <c r="C48" s="1" t="n">
        <v>46002</v>
      </c>
      <c r="D48" t="inlineStr">
        <is>
          <t>VÄSTRA GÖTALANDS LÄN</t>
        </is>
      </c>
      <c r="E48" t="inlineStr">
        <is>
          <t>STRÖMSTAD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46002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46002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46002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46002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46002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46002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46002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46002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46002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46002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53761-2024</t>
        </is>
      </c>
      <c r="B59" s="1" t="n">
        <v>45615.50958333333</v>
      </c>
      <c r="C59" s="1" t="n">
        <v>46002</v>
      </c>
      <c r="D59" t="inlineStr">
        <is>
          <t>VÄSTRA GÖTALANDS LÄN</t>
        </is>
      </c>
      <c r="E59" t="inlineStr">
        <is>
          <t>STRÖMSTAD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3178-2024</t>
        </is>
      </c>
      <c r="B60" s="1" t="n">
        <v>45316</v>
      </c>
      <c r="C60" s="1" t="n">
        <v>46002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61626-2024</t>
        </is>
      </c>
      <c r="B61" s="1" t="n">
        <v>45646.66194444444</v>
      </c>
      <c r="C61" s="1" t="n">
        <v>46002</v>
      </c>
      <c r="D61" t="inlineStr">
        <is>
          <t>VÄSTRA GÖTALANDS LÄN</t>
        </is>
      </c>
      <c r="E61" t="inlineStr">
        <is>
          <t>STRÖMSTAD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12945-2024</t>
        </is>
      </c>
      <c r="B62" s="1" t="n">
        <v>45385.47545138889</v>
      </c>
      <c r="C62" s="1" t="n">
        <v>46002</v>
      </c>
      <c r="D62" t="inlineStr">
        <is>
          <t>VÄSTRA GÖTALANDS LÄN</t>
        </is>
      </c>
      <c r="E62" t="inlineStr">
        <is>
          <t>STRÖMSTAD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52262-2023</t>
        </is>
      </c>
      <c r="B63" s="1" t="n">
        <v>45217</v>
      </c>
      <c r="C63" s="1" t="n">
        <v>46002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33772-2023</t>
        </is>
      </c>
      <c r="B64" s="1" t="n">
        <v>45133</v>
      </c>
      <c r="C64" s="1" t="n">
        <v>46002</v>
      </c>
      <c r="D64" t="inlineStr">
        <is>
          <t>VÄSTRA GÖTALANDS LÄN</t>
        </is>
      </c>
      <c r="E64" t="inlineStr">
        <is>
          <t>STRÖMSTAD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16989-2023</t>
        </is>
      </c>
      <c r="B65" s="1" t="n">
        <v>45033</v>
      </c>
      <c r="C65" s="1" t="n">
        <v>46002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44883-2021</t>
        </is>
      </c>
      <c r="B66" s="1" t="n">
        <v>44438.61731481482</v>
      </c>
      <c r="C66" s="1" t="n">
        <v>46002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10470-2024</t>
        </is>
      </c>
      <c r="B67" s="1" t="n">
        <v>45366.38853009259</v>
      </c>
      <c r="C67" s="1" t="n">
        <v>46002</v>
      </c>
      <c r="D67" t="inlineStr">
        <is>
          <t>VÄSTRA GÖTALANDS LÄN</t>
        </is>
      </c>
      <c r="E67" t="inlineStr">
        <is>
          <t>STRÖMSTAD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55712-2022</t>
        </is>
      </c>
      <c r="B68" s="1" t="n">
        <v>44885</v>
      </c>
      <c r="C68" s="1" t="n">
        <v>46002</v>
      </c>
      <c r="D68" t="inlineStr">
        <is>
          <t>VÄSTRA GÖTALANDS LÄN</t>
        </is>
      </c>
      <c r="E68" t="inlineStr">
        <is>
          <t>STRÖMSTAD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9695-2025</t>
        </is>
      </c>
      <c r="B69" s="1" t="n">
        <v>45716.37232638889</v>
      </c>
      <c r="C69" s="1" t="n">
        <v>46002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23012-2025</t>
        </is>
      </c>
      <c r="B70" s="1" t="n">
        <v>45790</v>
      </c>
      <c r="C70" s="1" t="n">
        <v>46002</v>
      </c>
      <c r="D70" t="inlineStr">
        <is>
          <t>VÄSTRA GÖTALANDS LÄN</t>
        </is>
      </c>
      <c r="E70" t="inlineStr">
        <is>
          <t>STRÖMSTAD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14079-2025</t>
        </is>
      </c>
      <c r="B71" s="1" t="n">
        <v>45739</v>
      </c>
      <c r="C71" s="1" t="n">
        <v>46002</v>
      </c>
      <c r="D71" t="inlineStr">
        <is>
          <t>VÄSTRA GÖTALANDS LÄN</t>
        </is>
      </c>
      <c r="E71" t="inlineStr">
        <is>
          <t>STRÖMSTAD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19492-2021</t>
        </is>
      </c>
      <c r="B72" s="1" t="n">
        <v>44312</v>
      </c>
      <c r="C72" s="1" t="n">
        <v>46002</v>
      </c>
      <c r="D72" t="inlineStr">
        <is>
          <t>VÄSTRA GÖTALANDS LÄN</t>
        </is>
      </c>
      <c r="E72" t="inlineStr">
        <is>
          <t>STRÖMSTAD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11897-2025</t>
        </is>
      </c>
      <c r="B73" s="1" t="n">
        <v>45728.46913194445</v>
      </c>
      <c r="C73" s="1" t="n">
        <v>46002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29329-2024</t>
        </is>
      </c>
      <c r="B74" s="1" t="n">
        <v>45483.44387731481</v>
      </c>
      <c r="C74" s="1" t="n">
        <v>46002</v>
      </c>
      <c r="D74" t="inlineStr">
        <is>
          <t>VÄSTRA GÖTALANDS LÄN</t>
        </is>
      </c>
      <c r="E74" t="inlineStr">
        <is>
          <t>STRÖMSTAD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61252-2024</t>
        </is>
      </c>
      <c r="B75" s="1" t="n">
        <v>45645.69790509259</v>
      </c>
      <c r="C75" s="1" t="n">
        <v>46002</v>
      </c>
      <c r="D75" t="inlineStr">
        <is>
          <t>VÄSTRA GÖTALANDS LÄN</t>
        </is>
      </c>
      <c r="E75" t="inlineStr">
        <is>
          <t>STRÖMSTAD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24348-2025</t>
        </is>
      </c>
      <c r="B76" s="1" t="n">
        <v>45797</v>
      </c>
      <c r="C76" s="1" t="n">
        <v>46002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39001-2024</t>
        </is>
      </c>
      <c r="B77" s="1" t="n">
        <v>45548.42012731481</v>
      </c>
      <c r="C77" s="1" t="n">
        <v>46002</v>
      </c>
      <c r="D77" t="inlineStr">
        <is>
          <t>VÄSTRA GÖTALANDS LÄN</t>
        </is>
      </c>
      <c r="E77" t="inlineStr">
        <is>
          <t>STRÖMSTAD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49554-2024</t>
        </is>
      </c>
      <c r="B78" s="1" t="n">
        <v>45596.4672337963</v>
      </c>
      <c r="C78" s="1" t="n">
        <v>46002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30701-2022</t>
        </is>
      </c>
      <c r="B79" s="1" t="n">
        <v>44763</v>
      </c>
      <c r="C79" s="1" t="n">
        <v>46002</v>
      </c>
      <c r="D79" t="inlineStr">
        <is>
          <t>VÄSTRA GÖTALANDS LÄN</t>
        </is>
      </c>
      <c r="E79" t="inlineStr">
        <is>
          <t>STRÖMSTAD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18043-2021</t>
        </is>
      </c>
      <c r="B80" s="1" t="n">
        <v>44301</v>
      </c>
      <c r="C80" s="1" t="n">
        <v>46002</v>
      </c>
      <c r="D80" t="inlineStr">
        <is>
          <t>VÄSTRA GÖTALANDS LÄN</t>
        </is>
      </c>
      <c r="E80" t="inlineStr">
        <is>
          <t>STRÖMSTAD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26233-2025</t>
        </is>
      </c>
      <c r="B81" s="1" t="n">
        <v>45805.5666087963</v>
      </c>
      <c r="C81" s="1" t="n">
        <v>46002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26270-2025</t>
        </is>
      </c>
      <c r="B82" s="1" t="n">
        <v>45805.59357638889</v>
      </c>
      <c r="C82" s="1" t="n">
        <v>46002</v>
      </c>
      <c r="D82" t="inlineStr">
        <is>
          <t>VÄSTRA GÖTALANDS LÄN</t>
        </is>
      </c>
      <c r="E82" t="inlineStr">
        <is>
          <t>STRÖMSTAD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52950-2022</t>
        </is>
      </c>
      <c r="B83" s="1" t="n">
        <v>44875.65717592592</v>
      </c>
      <c r="C83" s="1" t="n">
        <v>46002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40369-2024</t>
        </is>
      </c>
      <c r="B84" s="1" t="n">
        <v>45555.39053240741</v>
      </c>
      <c r="C84" s="1" t="n">
        <v>46002</v>
      </c>
      <c r="D84" t="inlineStr">
        <is>
          <t>VÄSTRA GÖTALANDS LÄN</t>
        </is>
      </c>
      <c r="E84" t="inlineStr">
        <is>
          <t>STRÖMSTAD</t>
        </is>
      </c>
      <c r="G84" t="n">
        <v>14.5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15552-2023</t>
        </is>
      </c>
      <c r="B85" s="1" t="n">
        <v>45018</v>
      </c>
      <c r="C85" s="1" t="n">
        <v>46002</v>
      </c>
      <c r="D85" t="inlineStr">
        <is>
          <t>VÄSTRA GÖTALANDS LÄN</t>
        </is>
      </c>
      <c r="E85" t="inlineStr">
        <is>
          <t>STRÖMSTAD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40383-2025</t>
        </is>
      </c>
      <c r="B86" s="1" t="n">
        <v>45895</v>
      </c>
      <c r="C86" s="1" t="n">
        <v>46002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13890-2022</t>
        </is>
      </c>
      <c r="B87" s="1" t="n">
        <v>44649</v>
      </c>
      <c r="C87" s="1" t="n">
        <v>46002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40430-2025</t>
        </is>
      </c>
      <c r="B88" s="1" t="n">
        <v>45895</v>
      </c>
      <c r="C88" s="1" t="n">
        <v>46002</v>
      </c>
      <c r="D88" t="inlineStr">
        <is>
          <t>VÄSTRA GÖTALANDS LÄN</t>
        </is>
      </c>
      <c r="E88" t="inlineStr">
        <is>
          <t>STRÖMSTAD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44529-2023</t>
        </is>
      </c>
      <c r="B89" s="1" t="n">
        <v>45189</v>
      </c>
      <c r="C89" s="1" t="n">
        <v>46002</v>
      </c>
      <c r="D89" t="inlineStr">
        <is>
          <t>VÄSTRA GÖTALANDS LÄN</t>
        </is>
      </c>
      <c r="E89" t="inlineStr">
        <is>
          <t>STRÖMSTAD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37092-2024</t>
        </is>
      </c>
      <c r="B90" s="1" t="n">
        <v>45539.49989583333</v>
      </c>
      <c r="C90" s="1" t="n">
        <v>46002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57989-2022</t>
        </is>
      </c>
      <c r="B91" s="1" t="n">
        <v>44892</v>
      </c>
      <c r="C91" s="1" t="n">
        <v>46002</v>
      </c>
      <c r="D91" t="inlineStr">
        <is>
          <t>VÄSTRA GÖTALANDS LÄN</t>
        </is>
      </c>
      <c r="E91" t="inlineStr">
        <is>
          <t>STRÖMSTAD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16216-2025</t>
        </is>
      </c>
      <c r="B92" s="1" t="n">
        <v>45750.63079861111</v>
      </c>
      <c r="C92" s="1" t="n">
        <v>46002</v>
      </c>
      <c r="D92" t="inlineStr">
        <is>
          <t>VÄSTRA GÖTALANDS LÄN</t>
        </is>
      </c>
      <c r="E92" t="inlineStr">
        <is>
          <t>STRÖMSTAD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55733-2023</t>
        </is>
      </c>
      <c r="B93" s="1" t="n">
        <v>45232</v>
      </c>
      <c r="C93" s="1" t="n">
        <v>46002</v>
      </c>
      <c r="D93" t="inlineStr">
        <is>
          <t>VÄSTRA GÖTALANDS LÄN</t>
        </is>
      </c>
      <c r="E93" t="inlineStr">
        <is>
          <t>STRÖMSTAD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40652-2024</t>
        </is>
      </c>
      <c r="B94" s="1" t="n">
        <v>45557</v>
      </c>
      <c r="C94" s="1" t="n">
        <v>46002</v>
      </c>
      <c r="D94" t="inlineStr">
        <is>
          <t>VÄSTRA GÖTALANDS LÄN</t>
        </is>
      </c>
      <c r="E94" t="inlineStr">
        <is>
          <t>STRÖMSTAD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35113-2021</t>
        </is>
      </c>
      <c r="B95" s="1" t="n">
        <v>44384.37240740741</v>
      </c>
      <c r="C95" s="1" t="n">
        <v>46002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28586-2025</t>
        </is>
      </c>
      <c r="B96" s="1" t="n">
        <v>45819.5812037037</v>
      </c>
      <c r="C96" s="1" t="n">
        <v>46002</v>
      </c>
      <c r="D96" t="inlineStr">
        <is>
          <t>VÄSTRA GÖTALANDS LÄN</t>
        </is>
      </c>
      <c r="E96" t="inlineStr">
        <is>
          <t>STRÖMSTAD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29308-2025</t>
        </is>
      </c>
      <c r="B97" s="1" t="n">
        <v>45824.46103009259</v>
      </c>
      <c r="C97" s="1" t="n">
        <v>46002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42239-2024</t>
        </is>
      </c>
      <c r="B98" s="1" t="n">
        <v>45562.56358796296</v>
      </c>
      <c r="C98" s="1" t="n">
        <v>46002</v>
      </c>
      <c r="D98" t="inlineStr">
        <is>
          <t>VÄSTRA GÖTALANDS LÄN</t>
        </is>
      </c>
      <c r="E98" t="inlineStr">
        <is>
          <t>STRÖMSTAD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29300-2025</t>
        </is>
      </c>
      <c r="B99" s="1" t="n">
        <v>45824.45552083333</v>
      </c>
      <c r="C99" s="1" t="n">
        <v>46002</v>
      </c>
      <c r="D99" t="inlineStr">
        <is>
          <t>VÄSTRA GÖTALANDS LÄN</t>
        </is>
      </c>
      <c r="E99" t="inlineStr">
        <is>
          <t>STRÖMSTAD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9590-2021</t>
        </is>
      </c>
      <c r="B100" s="1" t="n">
        <v>44251</v>
      </c>
      <c r="C100" s="1" t="n">
        <v>46002</v>
      </c>
      <c r="D100" t="inlineStr">
        <is>
          <t>VÄSTRA GÖTALANDS LÄN</t>
        </is>
      </c>
      <c r="E100" t="inlineStr">
        <is>
          <t>STRÖMSTAD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42823-2025</t>
        </is>
      </c>
      <c r="B101" s="1" t="n">
        <v>45908.57429398148</v>
      </c>
      <c r="C101" s="1" t="n">
        <v>46002</v>
      </c>
      <c r="D101" t="inlineStr">
        <is>
          <t>VÄSTRA GÖTALANDS LÄN</t>
        </is>
      </c>
      <c r="E101" t="inlineStr">
        <is>
          <t>STRÖMSTAD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42736-2025</t>
        </is>
      </c>
      <c r="B102" s="1" t="n">
        <v>45908</v>
      </c>
      <c r="C102" s="1" t="n">
        <v>46002</v>
      </c>
      <c r="D102" t="inlineStr">
        <is>
          <t>VÄSTRA GÖTALANDS LÄN</t>
        </is>
      </c>
      <c r="E102" t="inlineStr">
        <is>
          <t>STRÖMSTAD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52852-2024</t>
        </is>
      </c>
      <c r="B103" s="1" t="n">
        <v>45610.60664351852</v>
      </c>
      <c r="C103" s="1" t="n">
        <v>46002</v>
      </c>
      <c r="D103" t="inlineStr">
        <is>
          <t>VÄSTRA GÖTALANDS LÄN</t>
        </is>
      </c>
      <c r="E103" t="inlineStr">
        <is>
          <t>STRÖMSTAD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43550-2025</t>
        </is>
      </c>
      <c r="B104" s="1" t="n">
        <v>45911.61836805556</v>
      </c>
      <c r="C104" s="1" t="n">
        <v>46002</v>
      </c>
      <c r="D104" t="inlineStr">
        <is>
          <t>VÄSTRA GÖTALANDS LÄN</t>
        </is>
      </c>
      <c r="E104" t="inlineStr">
        <is>
          <t>STRÖMSTAD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25884-2023</t>
        </is>
      </c>
      <c r="B105" s="1" t="n">
        <v>45085</v>
      </c>
      <c r="C105" s="1" t="n">
        <v>46002</v>
      </c>
      <c r="D105" t="inlineStr">
        <is>
          <t>VÄSTRA GÖTALANDS LÄN</t>
        </is>
      </c>
      <c r="E105" t="inlineStr">
        <is>
          <t>STRÖMSTAD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31917-2025</t>
        </is>
      </c>
      <c r="B106" s="1" t="n">
        <v>45834</v>
      </c>
      <c r="C106" s="1" t="n">
        <v>46002</v>
      </c>
      <c r="D106" t="inlineStr">
        <is>
          <t>VÄSTRA GÖTALANDS LÄN</t>
        </is>
      </c>
      <c r="E106" t="inlineStr">
        <is>
          <t>STRÖMSTAD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44319-2025</t>
        </is>
      </c>
      <c r="B107" s="1" t="n">
        <v>45916</v>
      </c>
      <c r="C107" s="1" t="n">
        <v>46002</v>
      </c>
      <c r="D107" t="inlineStr">
        <is>
          <t>VÄSTRA GÖTALANDS LÄN</t>
        </is>
      </c>
      <c r="E107" t="inlineStr">
        <is>
          <t>STRÖMSTAD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50603-2024</t>
        </is>
      </c>
      <c r="B108" s="1" t="n">
        <v>45600</v>
      </c>
      <c r="C108" s="1" t="n">
        <v>46002</v>
      </c>
      <c r="D108" t="inlineStr">
        <is>
          <t>VÄSTRA GÖTALANDS LÄN</t>
        </is>
      </c>
      <c r="E108" t="inlineStr">
        <is>
          <t>STRÖMSTAD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33559-2025</t>
        </is>
      </c>
      <c r="B109" s="1" t="n">
        <v>45841.57549768518</v>
      </c>
      <c r="C109" s="1" t="n">
        <v>46002</v>
      </c>
      <c r="D109" t="inlineStr">
        <is>
          <t>VÄSTRA GÖTALANDS LÄN</t>
        </is>
      </c>
      <c r="E109" t="inlineStr">
        <is>
          <t>STRÖMSTAD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33566-2025</t>
        </is>
      </c>
      <c r="B110" s="1" t="n">
        <v>45841.58208333333</v>
      </c>
      <c r="C110" s="1" t="n">
        <v>46002</v>
      </c>
      <c r="D110" t="inlineStr">
        <is>
          <t>VÄSTRA GÖTALANDS LÄN</t>
        </is>
      </c>
      <c r="E110" t="inlineStr">
        <is>
          <t>STRÖMSTAD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20476-2023</t>
        </is>
      </c>
      <c r="B111" s="1" t="n">
        <v>45057.34075231481</v>
      </c>
      <c r="C111" s="1" t="n">
        <v>46002</v>
      </c>
      <c r="D111" t="inlineStr">
        <is>
          <t>VÄSTRA GÖTALANDS LÄN</t>
        </is>
      </c>
      <c r="E111" t="inlineStr">
        <is>
          <t>STRÖMSTAD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33560-2025</t>
        </is>
      </c>
      <c r="B112" s="1" t="n">
        <v>45841.57739583333</v>
      </c>
      <c r="C112" s="1" t="n">
        <v>46002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33564-2025</t>
        </is>
      </c>
      <c r="B113" s="1" t="n">
        <v>45841.57973379629</v>
      </c>
      <c r="C113" s="1" t="n">
        <v>46002</v>
      </c>
      <c r="D113" t="inlineStr">
        <is>
          <t>VÄSTRA GÖTALANDS LÄN</t>
        </is>
      </c>
      <c r="E113" t="inlineStr">
        <is>
          <t>STRÖMSTAD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33569-2025</t>
        </is>
      </c>
      <c r="B114" s="1" t="n">
        <v>45841.58334490741</v>
      </c>
      <c r="C114" s="1" t="n">
        <v>46002</v>
      </c>
      <c r="D114" t="inlineStr">
        <is>
          <t>VÄSTRA GÖTALANDS LÄN</t>
        </is>
      </c>
      <c r="E114" t="inlineStr">
        <is>
          <t>STRÖMSTAD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33586-2025</t>
        </is>
      </c>
      <c r="B115" s="1" t="n">
        <v>45841.59465277778</v>
      </c>
      <c r="C115" s="1" t="n">
        <v>46002</v>
      </c>
      <c r="D115" t="inlineStr">
        <is>
          <t>VÄSTRA GÖTALANDS LÄN</t>
        </is>
      </c>
      <c r="E115" t="inlineStr">
        <is>
          <t>STRÖMSTAD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45540-2025</t>
        </is>
      </c>
      <c r="B116" s="1" t="n">
        <v>45922.61466435185</v>
      </c>
      <c r="C116" s="1" t="n">
        <v>46002</v>
      </c>
      <c r="D116" t="inlineStr">
        <is>
          <t>VÄSTRA GÖTALANDS LÄN</t>
        </is>
      </c>
      <c r="E116" t="inlineStr">
        <is>
          <t>STRÖMSTAD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33555-2025</t>
        </is>
      </c>
      <c r="B117" s="1" t="n">
        <v>45841.57423611111</v>
      </c>
      <c r="C117" s="1" t="n">
        <v>46002</v>
      </c>
      <c r="D117" t="inlineStr">
        <is>
          <t>VÄSTRA GÖTALANDS LÄN</t>
        </is>
      </c>
      <c r="E117" t="inlineStr">
        <is>
          <t>STRÖMSTAD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33536-2025</t>
        </is>
      </c>
      <c r="B118" s="1" t="n">
        <v>45841.55890046297</v>
      </c>
      <c r="C118" s="1" t="n">
        <v>46002</v>
      </c>
      <c r="D118" t="inlineStr">
        <is>
          <t>VÄSTRA GÖTALANDS LÄN</t>
        </is>
      </c>
      <c r="E118" t="inlineStr">
        <is>
          <t>STRÖMSTAD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54126-2025</t>
        </is>
      </c>
      <c r="B119" s="1" t="n">
        <v>45964.45715277778</v>
      </c>
      <c r="C119" s="1" t="n">
        <v>46002</v>
      </c>
      <c r="D119" t="inlineStr">
        <is>
          <t>VÄSTRA GÖTALANDS LÄN</t>
        </is>
      </c>
      <c r="E119" t="inlineStr">
        <is>
          <t>STRÖMSTAD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33580-2025</t>
        </is>
      </c>
      <c r="B120" s="1" t="n">
        <v>45841.59407407408</v>
      </c>
      <c r="C120" s="1" t="n">
        <v>46002</v>
      </c>
      <c r="D120" t="inlineStr">
        <is>
          <t>VÄSTRA GÖTALANDS LÄN</t>
        </is>
      </c>
      <c r="E120" t="inlineStr">
        <is>
          <t>STRÖMSTAD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26277-2025</t>
        </is>
      </c>
      <c r="B121" s="1" t="n">
        <v>45805.60436342593</v>
      </c>
      <c r="C121" s="1" t="n">
        <v>46002</v>
      </c>
      <c r="D121" t="inlineStr">
        <is>
          <t>VÄSTRA GÖTALANDS LÄN</t>
        </is>
      </c>
      <c r="E121" t="inlineStr">
        <is>
          <t>STRÖMSTAD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15667-2024</t>
        </is>
      </c>
      <c r="B122" s="1" t="n">
        <v>45404</v>
      </c>
      <c r="C122" s="1" t="n">
        <v>46002</v>
      </c>
      <c r="D122" t="inlineStr">
        <is>
          <t>VÄSTRA GÖTALANDS LÄN</t>
        </is>
      </c>
      <c r="E122" t="inlineStr">
        <is>
          <t>STRÖMSTAD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50401-2021</t>
        </is>
      </c>
      <c r="B123" s="1" t="n">
        <v>44459</v>
      </c>
      <c r="C123" s="1" t="n">
        <v>46002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56024-2023</t>
        </is>
      </c>
      <c r="B124" s="1" t="n">
        <v>45240</v>
      </c>
      <c r="C124" s="1" t="n">
        <v>46002</v>
      </c>
      <c r="D124" t="inlineStr">
        <is>
          <t>VÄSTRA GÖTALANDS LÄN</t>
        </is>
      </c>
      <c r="E124" t="inlineStr">
        <is>
          <t>STRÖMSTAD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50601-2024</t>
        </is>
      </c>
      <c r="B125" s="1" t="n">
        <v>45600</v>
      </c>
      <c r="C125" s="1" t="n">
        <v>46002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46907-2025</t>
        </is>
      </c>
      <c r="B126" s="1" t="n">
        <v>45929.40480324074</v>
      </c>
      <c r="C126" s="1" t="n">
        <v>46002</v>
      </c>
      <c r="D126" t="inlineStr">
        <is>
          <t>VÄSTRA GÖTALANDS LÄN</t>
        </is>
      </c>
      <c r="E126" t="inlineStr">
        <is>
          <t>STRÖMSTAD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41991-2022</t>
        </is>
      </c>
      <c r="B127" s="1" t="n">
        <v>44830.44231481481</v>
      </c>
      <c r="C127" s="1" t="n">
        <v>46002</v>
      </c>
      <c r="D127" t="inlineStr">
        <is>
          <t>VÄSTRA GÖTALANDS LÄN</t>
        </is>
      </c>
      <c r="E127" t="inlineStr">
        <is>
          <t>STRÖMSTAD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64707-2023</t>
        </is>
      </c>
      <c r="B128" s="1" t="n">
        <v>45281</v>
      </c>
      <c r="C128" s="1" t="n">
        <v>46002</v>
      </c>
      <c r="D128" t="inlineStr">
        <is>
          <t>VÄSTRA GÖTALANDS LÄN</t>
        </is>
      </c>
      <c r="E128" t="inlineStr">
        <is>
          <t>STRÖMSTAD</t>
        </is>
      </c>
      <c r="F128" t="inlineStr">
        <is>
          <t>Kommuner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HYPERLINK("https://klasma.github.io/Logging_1486/knärot/A 64707-2023 karta knärot.png", "A 64707-2023")</f>
        <v/>
      </c>
      <c r="V128">
        <f>HYPERLINK("https://klasma.github.io/Logging_1486/klagomål/A 64707-2023 FSC-klagomål.docx", "A 64707-2023")</f>
        <v/>
      </c>
      <c r="W128">
        <f>HYPERLINK("https://klasma.github.io/Logging_1486/klagomålsmail/A 64707-2023 FSC-klagomål mail.docx", "A 64707-2023")</f>
        <v/>
      </c>
      <c r="X128">
        <f>HYPERLINK("https://klasma.github.io/Logging_1486/tillsyn/A 64707-2023 tillsynsbegäran.docx", "A 64707-2023")</f>
        <v/>
      </c>
      <c r="Y128">
        <f>HYPERLINK("https://klasma.github.io/Logging_1486/tillsynsmail/A 64707-2023 tillsynsbegäran mail.docx", "A 64707-2023")</f>
        <v/>
      </c>
    </row>
    <row r="129" ht="15" customHeight="1">
      <c r="A129" t="inlineStr">
        <is>
          <t>A 3187-2024</t>
        </is>
      </c>
      <c r="B129" s="1" t="n">
        <v>45316.65596064815</v>
      </c>
      <c r="C129" s="1" t="n">
        <v>46002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55830-2025</t>
        </is>
      </c>
      <c r="B130" s="1" t="n">
        <v>45972</v>
      </c>
      <c r="C130" s="1" t="n">
        <v>46002</v>
      </c>
      <c r="D130" t="inlineStr">
        <is>
          <t>VÄSTRA GÖTALANDS LÄN</t>
        </is>
      </c>
      <c r="E130" t="inlineStr">
        <is>
          <t>STRÖMSTAD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16223-2025</t>
        </is>
      </c>
      <c r="B131" s="1" t="n">
        <v>45750.63945601852</v>
      </c>
      <c r="C131" s="1" t="n">
        <v>46002</v>
      </c>
      <c r="D131" t="inlineStr">
        <is>
          <t>VÄSTRA GÖTALANDS LÄN</t>
        </is>
      </c>
      <c r="E131" t="inlineStr">
        <is>
          <t>STRÖMSTAD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46371-2022</t>
        </is>
      </c>
      <c r="B132" s="1" t="n">
        <v>44848</v>
      </c>
      <c r="C132" s="1" t="n">
        <v>46002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59383-2024</t>
        </is>
      </c>
      <c r="B133" s="1" t="n">
        <v>45638.35758101852</v>
      </c>
      <c r="C133" s="1" t="n">
        <v>46002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Kommuner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56208-2025</t>
        </is>
      </c>
      <c r="B134" s="1" t="n">
        <v>45974.47333333334</v>
      </c>
      <c r="C134" s="1" t="n">
        <v>46002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56211-2025</t>
        </is>
      </c>
      <c r="B135" s="1" t="n">
        <v>45974.47729166667</v>
      </c>
      <c r="C135" s="1" t="n">
        <v>46002</v>
      </c>
      <c r="D135" t="inlineStr">
        <is>
          <t>VÄSTRA GÖTALANDS LÄN</t>
        </is>
      </c>
      <c r="E135" t="inlineStr">
        <is>
          <t>STRÖMSTAD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33745-2023</t>
        </is>
      </c>
      <c r="B136" s="1" t="n">
        <v>45133.39075231482</v>
      </c>
      <c r="C136" s="1" t="n">
        <v>46002</v>
      </c>
      <c r="D136" t="inlineStr">
        <is>
          <t>VÄSTRA GÖTALANDS LÄN</t>
        </is>
      </c>
      <c r="E136" t="inlineStr">
        <is>
          <t>STRÖMSTAD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47882-2025</t>
        </is>
      </c>
      <c r="B137" s="1" t="n">
        <v>45932.46203703704</v>
      </c>
      <c r="C137" s="1" t="n">
        <v>46002</v>
      </c>
      <c r="D137" t="inlineStr">
        <is>
          <t>VÄSTRA GÖTALANDS LÄN</t>
        </is>
      </c>
      <c r="E137" t="inlineStr">
        <is>
          <t>STRÖMSTAD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56196-2025</t>
        </is>
      </c>
      <c r="B138" s="1" t="n">
        <v>45974.45112268518</v>
      </c>
      <c r="C138" s="1" t="n">
        <v>46002</v>
      </c>
      <c r="D138" t="inlineStr">
        <is>
          <t>VÄSTRA GÖTALANDS LÄN</t>
        </is>
      </c>
      <c r="E138" t="inlineStr">
        <is>
          <t>STRÖMSTAD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28430-2024</t>
        </is>
      </c>
      <c r="B139" s="1" t="n">
        <v>45477</v>
      </c>
      <c r="C139" s="1" t="n">
        <v>46002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53485-2023</t>
        </is>
      </c>
      <c r="B140" s="1" t="n">
        <v>45230</v>
      </c>
      <c r="C140" s="1" t="n">
        <v>46002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37311-2025</t>
        </is>
      </c>
      <c r="B141" s="1" t="n">
        <v>45876.59644675926</v>
      </c>
      <c r="C141" s="1" t="n">
        <v>46002</v>
      </c>
      <c r="D141" t="inlineStr">
        <is>
          <t>VÄSTRA GÖTALANDS LÄN</t>
        </is>
      </c>
      <c r="E141" t="inlineStr">
        <is>
          <t>STRÖMSTAD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5326-2024</t>
        </is>
      </c>
      <c r="B142" s="1" t="n">
        <v>45331.41356481481</v>
      </c>
      <c r="C142" s="1" t="n">
        <v>46002</v>
      </c>
      <c r="D142" t="inlineStr">
        <is>
          <t>VÄSTRA GÖTALANDS LÄN</t>
        </is>
      </c>
      <c r="E142" t="inlineStr">
        <is>
          <t>STRÖMSTAD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10764-2024</t>
        </is>
      </c>
      <c r="B143" s="1" t="n">
        <v>45369.56681712963</v>
      </c>
      <c r="C143" s="1" t="n">
        <v>46002</v>
      </c>
      <c r="D143" t="inlineStr">
        <is>
          <t>VÄSTRA GÖTALANDS LÄN</t>
        </is>
      </c>
      <c r="E143" t="inlineStr">
        <is>
          <t>STRÖMSTAD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17525-2025</t>
        </is>
      </c>
      <c r="B144" s="1" t="n">
        <v>45757.5817824074</v>
      </c>
      <c r="C144" s="1" t="n">
        <v>46002</v>
      </c>
      <c r="D144" t="inlineStr">
        <is>
          <t>VÄSTRA GÖTALANDS LÄN</t>
        </is>
      </c>
      <c r="E144" t="inlineStr">
        <is>
          <t>STRÖMSTAD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48688-2025</t>
        </is>
      </c>
      <c r="B145" s="1" t="n">
        <v>45936.60555555556</v>
      </c>
      <c r="C145" s="1" t="n">
        <v>46002</v>
      </c>
      <c r="D145" t="inlineStr">
        <is>
          <t>VÄSTRA GÖTALANDS LÄN</t>
        </is>
      </c>
      <c r="E145" t="inlineStr">
        <is>
          <t>STRÖMSTAD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2982-2025</t>
        </is>
      </c>
      <c r="B146" s="1" t="n">
        <v>45678.51011574074</v>
      </c>
      <c r="C146" s="1" t="n">
        <v>46002</v>
      </c>
      <c r="D146" t="inlineStr">
        <is>
          <t>VÄSTRA GÖTALANDS LÄN</t>
        </is>
      </c>
      <c r="E146" t="inlineStr">
        <is>
          <t>STRÖMSTAD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58226-2025</t>
        </is>
      </c>
      <c r="B147" s="1" t="n">
        <v>45985.37508101852</v>
      </c>
      <c r="C147" s="1" t="n">
        <v>46002</v>
      </c>
      <c r="D147" t="inlineStr">
        <is>
          <t>VÄSTRA GÖTALANDS LÄN</t>
        </is>
      </c>
      <c r="E147" t="inlineStr">
        <is>
          <t>STRÖMSTAD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58251-2025</t>
        </is>
      </c>
      <c r="B148" s="1" t="n">
        <v>45985.39645833334</v>
      </c>
      <c r="C148" s="1" t="n">
        <v>46002</v>
      </c>
      <c r="D148" t="inlineStr">
        <is>
          <t>VÄSTRA GÖTALANDS LÄN</t>
        </is>
      </c>
      <c r="E148" t="inlineStr">
        <is>
          <t>STRÖMSTAD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60768-2022</t>
        </is>
      </c>
      <c r="B149" s="1" t="n">
        <v>44907</v>
      </c>
      <c r="C149" s="1" t="n">
        <v>46002</v>
      </c>
      <c r="D149" t="inlineStr">
        <is>
          <t>VÄSTRA GÖTALANDS LÄN</t>
        </is>
      </c>
      <c r="E149" t="inlineStr">
        <is>
          <t>STRÖMSTAD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20888-2022</t>
        </is>
      </c>
      <c r="B150" s="1" t="n">
        <v>44701</v>
      </c>
      <c r="C150" s="1" t="n">
        <v>46002</v>
      </c>
      <c r="D150" t="inlineStr">
        <is>
          <t>VÄSTRA GÖTALANDS LÄN</t>
        </is>
      </c>
      <c r="E150" t="inlineStr">
        <is>
          <t>STRÖMSTAD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50057-2025</t>
        </is>
      </c>
      <c r="B151" s="1" t="n">
        <v>45942</v>
      </c>
      <c r="C151" s="1" t="n">
        <v>46002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50626-2025</t>
        </is>
      </c>
      <c r="B152" s="1" t="n">
        <v>45945.63623842593</v>
      </c>
      <c r="C152" s="1" t="n">
        <v>46002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Övriga Aktiebolag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50432-2025</t>
        </is>
      </c>
      <c r="B153" s="1" t="n">
        <v>45944.69248842593</v>
      </c>
      <c r="C153" s="1" t="n">
        <v>46002</v>
      </c>
      <c r="D153" t="inlineStr">
        <is>
          <t>VÄSTRA GÖTALANDS LÄN</t>
        </is>
      </c>
      <c r="E153" t="inlineStr">
        <is>
          <t>STRÖMSTAD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18043-2021</t>
        </is>
      </c>
      <c r="B154" s="1" t="n">
        <v>44301</v>
      </c>
      <c r="C154" s="1" t="n">
        <v>46002</v>
      </c>
      <c r="D154" t="inlineStr">
        <is>
          <t>VÄSTRA GÖTALANDS LÄN</t>
        </is>
      </c>
      <c r="E154" t="inlineStr">
        <is>
          <t>STRÖMSTAD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50579-2025</t>
        </is>
      </c>
      <c r="B155" s="1" t="n">
        <v>45945.58449074074</v>
      </c>
      <c r="C155" s="1" t="n">
        <v>46002</v>
      </c>
      <c r="D155" t="inlineStr">
        <is>
          <t>VÄSTRA GÖTALANDS LÄN</t>
        </is>
      </c>
      <c r="E155" t="inlineStr">
        <is>
          <t>STRÖMSTAD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50589-2025</t>
        </is>
      </c>
      <c r="B156" s="1" t="n">
        <v>45945.600625</v>
      </c>
      <c r="C156" s="1" t="n">
        <v>46002</v>
      </c>
      <c r="D156" t="inlineStr">
        <is>
          <t>VÄSTRA GÖTALANDS LÄN</t>
        </is>
      </c>
      <c r="E156" t="inlineStr">
        <is>
          <t>STRÖMSTAD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50606-2025</t>
        </is>
      </c>
      <c r="B157" s="1" t="n">
        <v>45945.6171412037</v>
      </c>
      <c r="C157" s="1" t="n">
        <v>46002</v>
      </c>
      <c r="D157" t="inlineStr">
        <is>
          <t>VÄSTRA GÖTALANDS LÄN</t>
        </is>
      </c>
      <c r="E157" t="inlineStr">
        <is>
          <t>STRÖMSTAD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50607-2025</t>
        </is>
      </c>
      <c r="B158" s="1" t="n">
        <v>45945.61997685185</v>
      </c>
      <c r="C158" s="1" t="n">
        <v>46002</v>
      </c>
      <c r="D158" t="inlineStr">
        <is>
          <t>VÄSTRA GÖTALANDS LÄN</t>
        </is>
      </c>
      <c r="E158" t="inlineStr">
        <is>
          <t>STRÖMSTAD</t>
        </is>
      </c>
      <c r="G158" t="n">
        <v>14.5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50578-2025</t>
        </is>
      </c>
      <c r="B159" s="1" t="n">
        <v>45945.58215277778</v>
      </c>
      <c r="C159" s="1" t="n">
        <v>46002</v>
      </c>
      <c r="D159" t="inlineStr">
        <is>
          <t>VÄSTRA GÖTALANDS LÄN</t>
        </is>
      </c>
      <c r="E159" t="inlineStr">
        <is>
          <t>STRÖMSTAD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8291-2023</t>
        </is>
      </c>
      <c r="B160" s="1" t="n">
        <v>44974</v>
      </c>
      <c r="C160" s="1" t="n">
        <v>46002</v>
      </c>
      <c r="D160" t="inlineStr">
        <is>
          <t>VÄSTRA GÖTALANDS LÄN</t>
        </is>
      </c>
      <c r="E160" t="inlineStr">
        <is>
          <t>STRÖMSTAD</t>
        </is>
      </c>
      <c r="G160" t="n">
        <v>17.3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50797-2025</t>
        </is>
      </c>
      <c r="B161" s="1" t="n">
        <v>45946.48350694445</v>
      </c>
      <c r="C161" s="1" t="n">
        <v>46002</v>
      </c>
      <c r="D161" t="inlineStr">
        <is>
          <t>VÄSTRA GÖTALANDS LÄN</t>
        </is>
      </c>
      <c r="E161" t="inlineStr">
        <is>
          <t>STRÖMSTAD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45617-2024</t>
        </is>
      </c>
      <c r="B162" s="1" t="n">
        <v>45579.45523148148</v>
      </c>
      <c r="C162" s="1" t="n">
        <v>46002</v>
      </c>
      <c r="D162" t="inlineStr">
        <is>
          <t>VÄSTRA GÖTALANDS LÄN</t>
        </is>
      </c>
      <c r="E162" t="inlineStr">
        <is>
          <t>STRÖMSTAD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51427-2025</t>
        </is>
      </c>
      <c r="B163" s="1" t="n">
        <v>45949</v>
      </c>
      <c r="C163" s="1" t="n">
        <v>46002</v>
      </c>
      <c r="D163" t="inlineStr">
        <is>
          <t>VÄSTRA GÖTALANDS LÄN</t>
        </is>
      </c>
      <c r="E163" t="inlineStr">
        <is>
          <t>STRÖMSTAD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9983-2022</t>
        </is>
      </c>
      <c r="B164" s="1" t="n">
        <v>44621.43550925926</v>
      </c>
      <c r="C164" s="1" t="n">
        <v>46002</v>
      </c>
      <c r="D164" t="inlineStr">
        <is>
          <t>VÄSTRA GÖTALANDS LÄN</t>
        </is>
      </c>
      <c r="E164" t="inlineStr">
        <is>
          <t>STRÖMSTAD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33131-2023</t>
        </is>
      </c>
      <c r="B165" s="1" t="n">
        <v>45126</v>
      </c>
      <c r="C165" s="1" t="n">
        <v>46002</v>
      </c>
      <c r="D165" t="inlineStr">
        <is>
          <t>VÄSTRA GÖTALANDS LÄN</t>
        </is>
      </c>
      <c r="E165" t="inlineStr">
        <is>
          <t>STRÖMSTAD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24514-2024</t>
        </is>
      </c>
      <c r="B166" s="1" t="n">
        <v>45458</v>
      </c>
      <c r="C166" s="1" t="n">
        <v>46002</v>
      </c>
      <c r="D166" t="inlineStr">
        <is>
          <t>VÄSTRA GÖTALANDS LÄN</t>
        </is>
      </c>
      <c r="E166" t="inlineStr">
        <is>
          <t>STRÖMSTAD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31388-2022</t>
        </is>
      </c>
      <c r="B167" s="1" t="n">
        <v>44774.62195601852</v>
      </c>
      <c r="C167" s="1" t="n">
        <v>46002</v>
      </c>
      <c r="D167" t="inlineStr">
        <is>
          <t>VÄSTRA GÖTALANDS LÄN</t>
        </is>
      </c>
      <c r="E167" t="inlineStr">
        <is>
          <t>STRÖMSTAD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59902-2025</t>
        </is>
      </c>
      <c r="B168" s="1" t="n">
        <v>45993.34480324074</v>
      </c>
      <c r="C168" s="1" t="n">
        <v>46002</v>
      </c>
      <c r="D168" t="inlineStr">
        <is>
          <t>VÄSTRA GÖTALANDS LÄN</t>
        </is>
      </c>
      <c r="E168" t="inlineStr">
        <is>
          <t>STRÖMSTAD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51432-2025</t>
        </is>
      </c>
      <c r="B169" s="1" t="n">
        <v>45949</v>
      </c>
      <c r="C169" s="1" t="n">
        <v>46002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51429-2025</t>
        </is>
      </c>
      <c r="B170" s="1" t="n">
        <v>45949</v>
      </c>
      <c r="C170" s="1" t="n">
        <v>46002</v>
      </c>
      <c r="D170" t="inlineStr">
        <is>
          <t>VÄSTRA GÖTALANDS LÄN</t>
        </is>
      </c>
      <c r="E170" t="inlineStr">
        <is>
          <t>STRÖMSTAD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29195-2024</t>
        </is>
      </c>
      <c r="B171" s="1" t="n">
        <v>45482</v>
      </c>
      <c r="C171" s="1" t="n">
        <v>46002</v>
      </c>
      <c r="D171" t="inlineStr">
        <is>
          <t>VÄSTRA GÖTALANDS LÄN</t>
        </is>
      </c>
      <c r="E171" t="inlineStr">
        <is>
          <t>STRÖMSTAD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994-2024</t>
        </is>
      </c>
      <c r="B172" s="1" t="n">
        <v>45301.62427083333</v>
      </c>
      <c r="C172" s="1" t="n">
        <v>46002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57663-2025</t>
        </is>
      </c>
      <c r="B173" s="1" t="n">
        <v>45981.42303240741</v>
      </c>
      <c r="C173" s="1" t="n">
        <v>46002</v>
      </c>
      <c r="D173" t="inlineStr">
        <is>
          <t>VÄSTRA GÖTALANDS LÄN</t>
        </is>
      </c>
      <c r="E173" t="inlineStr">
        <is>
          <t>STRÖMSTAD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44408-2021</t>
        </is>
      </c>
      <c r="B174" s="1" t="n">
        <v>44435</v>
      </c>
      <c r="C174" s="1" t="n">
        <v>46002</v>
      </c>
      <c r="D174" t="inlineStr">
        <is>
          <t>VÄSTRA GÖTALANDS LÄN</t>
        </is>
      </c>
      <c r="E174" t="inlineStr">
        <is>
          <t>STRÖMSTAD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52833-2025</t>
        </is>
      </c>
      <c r="B175" s="1" t="n">
        <v>45957.47081018519</v>
      </c>
      <c r="C175" s="1" t="n">
        <v>46002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56318-2025</t>
        </is>
      </c>
      <c r="B176" s="1" t="n">
        <v>45974</v>
      </c>
      <c r="C176" s="1" t="n">
        <v>46002</v>
      </c>
      <c r="D176" t="inlineStr">
        <is>
          <t>VÄSTRA GÖTALANDS LÄN</t>
        </is>
      </c>
      <c r="E176" t="inlineStr">
        <is>
          <t>STRÖMSTAD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61413-2025</t>
        </is>
      </c>
      <c r="B177" s="1" t="n">
        <v>46000</v>
      </c>
      <c r="C177" s="1" t="n">
        <v>46002</v>
      </c>
      <c r="D177" t="inlineStr">
        <is>
          <t>VÄSTRA GÖTALANDS LÄN</t>
        </is>
      </c>
      <c r="E177" t="inlineStr">
        <is>
          <t>STRÖMSTAD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10457-2023</t>
        </is>
      </c>
      <c r="B178" s="1" t="n">
        <v>44987</v>
      </c>
      <c r="C178" s="1" t="n">
        <v>46002</v>
      </c>
      <c r="D178" t="inlineStr">
        <is>
          <t>VÄSTRA GÖTALANDS LÄN</t>
        </is>
      </c>
      <c r="E178" t="inlineStr">
        <is>
          <t>STRÖMSTAD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50034-2022</t>
        </is>
      </c>
      <c r="B179" s="1" t="n">
        <v>44865.45782407407</v>
      </c>
      <c r="C179" s="1" t="n">
        <v>46002</v>
      </c>
      <c r="D179" t="inlineStr">
        <is>
          <t>VÄSTRA GÖTALANDS LÄN</t>
        </is>
      </c>
      <c r="E179" t="inlineStr">
        <is>
          <t>STRÖMSTAD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46002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2231-2023</t>
        </is>
      </c>
      <c r="B181" s="1" t="n">
        <v>44942</v>
      </c>
      <c r="C181" s="1" t="n">
        <v>46002</v>
      </c>
      <c r="D181" t="inlineStr">
        <is>
          <t>VÄSTRA GÖTALANDS LÄN</t>
        </is>
      </c>
      <c r="E181" t="inlineStr">
        <is>
          <t>STRÖMSTAD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16363-2024</t>
        </is>
      </c>
      <c r="B182" s="1" t="n">
        <v>45407.59325231481</v>
      </c>
      <c r="C182" s="1" t="n">
        <v>46002</v>
      </c>
      <c r="D182" t="inlineStr">
        <is>
          <t>VÄSTRA GÖTALANDS LÄN</t>
        </is>
      </c>
      <c r="E182" t="inlineStr">
        <is>
          <t>STRÖMSTAD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15704-2025</t>
        </is>
      </c>
      <c r="B183" s="1" t="n">
        <v>45748.4815162037</v>
      </c>
      <c r="C183" s="1" t="n">
        <v>46002</v>
      </c>
      <c r="D183" t="inlineStr">
        <is>
          <t>VÄSTRA GÖTALANDS LÄN</t>
        </is>
      </c>
      <c r="E183" t="inlineStr">
        <is>
          <t>STRÖMSTAD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72625-2021</t>
        </is>
      </c>
      <c r="B184" s="1" t="n">
        <v>44546.55005787037</v>
      </c>
      <c r="C184" s="1" t="n">
        <v>46002</v>
      </c>
      <c r="D184" t="inlineStr">
        <is>
          <t>VÄSTRA GÖTALANDS LÄN</t>
        </is>
      </c>
      <c r="E184" t="inlineStr">
        <is>
          <t>STRÖMSTAD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19134-2025</t>
        </is>
      </c>
      <c r="B185" s="1" t="n">
        <v>45764</v>
      </c>
      <c r="C185" s="1" t="n">
        <v>46002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33118-2023</t>
        </is>
      </c>
      <c r="B186" s="1" t="n">
        <v>45126.59351851852</v>
      </c>
      <c r="C186" s="1" t="n">
        <v>46002</v>
      </c>
      <c r="D186" t="inlineStr">
        <is>
          <t>VÄSTRA GÖTALANDS LÄN</t>
        </is>
      </c>
      <c r="E186" t="inlineStr">
        <is>
          <t>STRÖMSTAD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38988-2024</t>
        </is>
      </c>
      <c r="B187" s="1" t="n">
        <v>45548.40613425926</v>
      </c>
      <c r="C187" s="1" t="n">
        <v>46002</v>
      </c>
      <c r="D187" t="inlineStr">
        <is>
          <t>VÄSTRA GÖTALANDS LÄN</t>
        </is>
      </c>
      <c r="E187" t="inlineStr">
        <is>
          <t>STRÖMSTAD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60220-2022</t>
        </is>
      </c>
      <c r="B188" s="1" t="n">
        <v>44903</v>
      </c>
      <c r="C188" s="1" t="n">
        <v>46002</v>
      </c>
      <c r="D188" t="inlineStr">
        <is>
          <t>VÄSTRA GÖTALANDS LÄN</t>
        </is>
      </c>
      <c r="E188" t="inlineStr">
        <is>
          <t>STRÖMSTAD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11891-2025</t>
        </is>
      </c>
      <c r="B189" s="1" t="n">
        <v>45728.46309027778</v>
      </c>
      <c r="C189" s="1" t="n">
        <v>46002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48071-2024</t>
        </is>
      </c>
      <c r="B190" s="1" t="n">
        <v>45589</v>
      </c>
      <c r="C190" s="1" t="n">
        <v>46002</v>
      </c>
      <c r="D190" t="inlineStr">
        <is>
          <t>VÄSTRA GÖTALANDS LÄN</t>
        </is>
      </c>
      <c r="E190" t="inlineStr">
        <is>
          <t>STRÖMSTAD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46002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54007-2024</t>
        </is>
      </c>
      <c r="B192" s="1" t="n">
        <v>45615</v>
      </c>
      <c r="C192" s="1" t="n">
        <v>46002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33747-2023</t>
        </is>
      </c>
      <c r="B193" s="1" t="n">
        <v>45133.39594907407</v>
      </c>
      <c r="C193" s="1" t="n">
        <v>46002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44523-2023</t>
        </is>
      </c>
      <c r="B194" s="1" t="n">
        <v>45189.4774537037</v>
      </c>
      <c r="C194" s="1" t="n">
        <v>46002</v>
      </c>
      <c r="D194" t="inlineStr">
        <is>
          <t>VÄSTRA GÖTALANDS LÄN</t>
        </is>
      </c>
      <c r="E194" t="inlineStr">
        <is>
          <t>STRÖMSTAD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59396-2024</t>
        </is>
      </c>
      <c r="B195" s="1" t="n">
        <v>45638.37623842592</v>
      </c>
      <c r="C195" s="1" t="n">
        <v>46002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61247-2024</t>
        </is>
      </c>
      <c r="B196" s="1" t="n">
        <v>45645.69128472222</v>
      </c>
      <c r="C196" s="1" t="n">
        <v>46002</v>
      </c>
      <c r="D196" t="inlineStr">
        <is>
          <t>VÄSTRA GÖTALANDS LÄN</t>
        </is>
      </c>
      <c r="E196" t="inlineStr">
        <is>
          <t>STRÖMSTAD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8047-2024</t>
        </is>
      </c>
      <c r="B197" s="1" t="n">
        <v>45351.32293981482</v>
      </c>
      <c r="C197" s="1" t="n">
        <v>46002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13109-2023</t>
        </is>
      </c>
      <c r="B198" s="1" t="n">
        <v>45002</v>
      </c>
      <c r="C198" s="1" t="n">
        <v>46002</v>
      </c>
      <c r="D198" t="inlineStr">
        <is>
          <t>VÄSTRA GÖTALANDS LÄN</t>
        </is>
      </c>
      <c r="E198" t="inlineStr">
        <is>
          <t>STRÖMSTAD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21333-2024</t>
        </is>
      </c>
      <c r="B199" s="1" t="n">
        <v>45440</v>
      </c>
      <c r="C199" s="1" t="n">
        <v>46002</v>
      </c>
      <c r="D199" t="inlineStr">
        <is>
          <t>VÄSTRA GÖTALANDS LÄN</t>
        </is>
      </c>
      <c r="E199" t="inlineStr">
        <is>
          <t>STRÖMSTAD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29192-2024</t>
        </is>
      </c>
      <c r="B200" s="1" t="n">
        <v>45482</v>
      </c>
      <c r="C200" s="1" t="n">
        <v>46002</v>
      </c>
      <c r="D200" t="inlineStr">
        <is>
          <t>VÄSTRA GÖTALANDS LÄN</t>
        </is>
      </c>
      <c r="E200" t="inlineStr">
        <is>
          <t>STRÖMSTAD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67875-2021</t>
        </is>
      </c>
      <c r="B201" s="1" t="n">
        <v>44525</v>
      </c>
      <c r="C201" s="1" t="n">
        <v>46002</v>
      </c>
      <c r="D201" t="inlineStr">
        <is>
          <t>VÄSTRA GÖTALANDS LÄN</t>
        </is>
      </c>
      <c r="E201" t="inlineStr">
        <is>
          <t>STRÖMSTAD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50261-2023</t>
        </is>
      </c>
      <c r="B202" s="1" t="n">
        <v>45216.37878472222</v>
      </c>
      <c r="C202" s="1" t="n">
        <v>46002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38983-2024</t>
        </is>
      </c>
      <c r="B203" s="1" t="n">
        <v>45548.39829861111</v>
      </c>
      <c r="C203" s="1" t="n">
        <v>46002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29327-2024</t>
        </is>
      </c>
      <c r="B204" s="1" t="n">
        <v>45483.43834490741</v>
      </c>
      <c r="C204" s="1" t="n">
        <v>46002</v>
      </c>
      <c r="D204" t="inlineStr">
        <is>
          <t>VÄSTRA GÖTALANDS LÄN</t>
        </is>
      </c>
      <c r="E204" t="inlineStr">
        <is>
          <t>STRÖMSTAD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56602-2023</t>
        </is>
      </c>
      <c r="B205" s="1" t="n">
        <v>45243.6625</v>
      </c>
      <c r="C205" s="1" t="n">
        <v>46002</v>
      </c>
      <c r="D205" t="inlineStr">
        <is>
          <t>VÄSTRA GÖTALANDS LÄN</t>
        </is>
      </c>
      <c r="E205" t="inlineStr">
        <is>
          <t>STRÖMSTAD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12238-2025</t>
        </is>
      </c>
      <c r="B206" s="1" t="n">
        <v>45729.58333333334</v>
      </c>
      <c r="C206" s="1" t="n">
        <v>46002</v>
      </c>
      <c r="D206" t="inlineStr">
        <is>
          <t>VÄSTRA GÖTALANDS LÄN</t>
        </is>
      </c>
      <c r="E206" t="inlineStr">
        <is>
          <t>STRÖMSTAD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41072-2023</t>
        </is>
      </c>
      <c r="B207" s="1" t="n">
        <v>45170</v>
      </c>
      <c r="C207" s="1" t="n">
        <v>46002</v>
      </c>
      <c r="D207" t="inlineStr">
        <is>
          <t>VÄSTRA GÖTALANDS LÄN</t>
        </is>
      </c>
      <c r="E207" t="inlineStr">
        <is>
          <t>STRÖMSTAD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3391-2024</t>
        </is>
      </c>
      <c r="B208" s="1" t="n">
        <v>45318</v>
      </c>
      <c r="C208" s="1" t="n">
        <v>46002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52902-2024</t>
        </is>
      </c>
      <c r="B209" s="1" t="n">
        <v>45610.68715277778</v>
      </c>
      <c r="C209" s="1" t="n">
        <v>46002</v>
      </c>
      <c r="D209" t="inlineStr">
        <is>
          <t>VÄSTRA GÖTALANDS LÄN</t>
        </is>
      </c>
      <c r="E209" t="inlineStr">
        <is>
          <t>STRÖMSTAD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20968-2023</t>
        </is>
      </c>
      <c r="B210" s="1" t="n">
        <v>45061</v>
      </c>
      <c r="C210" s="1" t="n">
        <v>46002</v>
      </c>
      <c r="D210" t="inlineStr">
        <is>
          <t>VÄSTRA GÖTALANDS LÄN</t>
        </is>
      </c>
      <c r="E210" t="inlineStr">
        <is>
          <t>STRÖMSTAD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22560-2023</t>
        </is>
      </c>
      <c r="B211" s="1" t="n">
        <v>45071.44758101852</v>
      </c>
      <c r="C211" s="1" t="n">
        <v>46002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54792-2023</t>
        </is>
      </c>
      <c r="B212" s="1" t="n">
        <v>45236</v>
      </c>
      <c r="C212" s="1" t="n">
        <v>46002</v>
      </c>
      <c r="D212" t="inlineStr">
        <is>
          <t>VÄSTRA GÖTALANDS LÄN</t>
        </is>
      </c>
      <c r="E212" t="inlineStr">
        <is>
          <t>STRÖMSTAD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45578-2024</t>
        </is>
      </c>
      <c r="B213" s="1" t="n">
        <v>45578</v>
      </c>
      <c r="C213" s="1" t="n">
        <v>46002</v>
      </c>
      <c r="D213" t="inlineStr">
        <is>
          <t>VÄSTRA GÖTALANDS LÄN</t>
        </is>
      </c>
      <c r="E213" t="inlineStr">
        <is>
          <t>STRÖMSTAD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61249-2024</t>
        </is>
      </c>
      <c r="B214" s="1" t="n">
        <v>45645.69321759259</v>
      </c>
      <c r="C214" s="1" t="n">
        <v>46002</v>
      </c>
      <c r="D214" t="inlineStr">
        <is>
          <t>VÄSTRA GÖTALANDS LÄN</t>
        </is>
      </c>
      <c r="E214" t="inlineStr">
        <is>
          <t>STRÖMSTAD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38818-2024</t>
        </is>
      </c>
      <c r="B215" s="1" t="n">
        <v>45547.55392361111</v>
      </c>
      <c r="C215" s="1" t="n">
        <v>46002</v>
      </c>
      <c r="D215" t="inlineStr">
        <is>
          <t>VÄSTRA GÖTALANDS LÄN</t>
        </is>
      </c>
      <c r="E215" t="inlineStr">
        <is>
          <t>STRÖMSTAD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45632-2024</t>
        </is>
      </c>
      <c r="B216" s="1" t="n">
        <v>45579.47123842593</v>
      </c>
      <c r="C216" s="1" t="n">
        <v>46002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Kyrkan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7136-2022</t>
        </is>
      </c>
      <c r="B217" s="1" t="n">
        <v>44603</v>
      </c>
      <c r="C217" s="1" t="n">
        <v>46002</v>
      </c>
      <c r="D217" t="inlineStr">
        <is>
          <t>VÄSTRA GÖTALANDS LÄN</t>
        </is>
      </c>
      <c r="E217" t="inlineStr">
        <is>
          <t>STRÖMSTAD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24991-2023</t>
        </is>
      </c>
      <c r="B218" s="1" t="n">
        <v>45085</v>
      </c>
      <c r="C218" s="1" t="n">
        <v>46002</v>
      </c>
      <c r="D218" t="inlineStr">
        <is>
          <t>VÄSTRA GÖTALANDS LÄN</t>
        </is>
      </c>
      <c r="E218" t="inlineStr">
        <is>
          <t>STRÖMSTAD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989-2024</t>
        </is>
      </c>
      <c r="B219" s="1" t="n">
        <v>45301</v>
      </c>
      <c r="C219" s="1" t="n">
        <v>46002</v>
      </c>
      <c r="D219" t="inlineStr">
        <is>
          <t>VÄSTRA GÖTALANDS LÄN</t>
        </is>
      </c>
      <c r="E219" t="inlineStr">
        <is>
          <t>STRÖMSTAD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61250-2024</t>
        </is>
      </c>
      <c r="B220" s="1" t="n">
        <v>45645.69521990741</v>
      </c>
      <c r="C220" s="1" t="n">
        <v>46002</v>
      </c>
      <c r="D220" t="inlineStr">
        <is>
          <t>VÄSTRA GÖTALANDS LÄN</t>
        </is>
      </c>
      <c r="E220" t="inlineStr">
        <is>
          <t>STRÖMSTAD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13325-2022</t>
        </is>
      </c>
      <c r="B221" s="1" t="n">
        <v>44645.34487268519</v>
      </c>
      <c r="C221" s="1" t="n">
        <v>46002</v>
      </c>
      <c r="D221" t="inlineStr">
        <is>
          <t>VÄSTRA GÖTALANDS LÄN</t>
        </is>
      </c>
      <c r="E221" t="inlineStr">
        <is>
          <t>STRÖMSTAD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50234-2024</t>
        </is>
      </c>
      <c r="B222" s="1" t="n">
        <v>45600.55275462963</v>
      </c>
      <c r="C222" s="1" t="n">
        <v>46002</v>
      </c>
      <c r="D222" t="inlineStr">
        <is>
          <t>VÄSTRA GÖTALANDS LÄN</t>
        </is>
      </c>
      <c r="E222" t="inlineStr">
        <is>
          <t>STRÖMSTAD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56677-2023</t>
        </is>
      </c>
      <c r="B223" s="1" t="n">
        <v>45243.9177199074</v>
      </c>
      <c r="C223" s="1" t="n">
        <v>46002</v>
      </c>
      <c r="D223" t="inlineStr">
        <is>
          <t>VÄSTRA GÖTALANDS LÄN</t>
        </is>
      </c>
      <c r="E223" t="inlineStr">
        <is>
          <t>STRÖMSTAD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56130-2022</t>
        </is>
      </c>
      <c r="B224" s="1" t="n">
        <v>44886</v>
      </c>
      <c r="C224" s="1" t="n">
        <v>46002</v>
      </c>
      <c r="D224" t="inlineStr">
        <is>
          <t>VÄSTRA GÖTALANDS LÄN</t>
        </is>
      </c>
      <c r="E224" t="inlineStr">
        <is>
          <t>STRÖMSTAD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21061-2022</t>
        </is>
      </c>
      <c r="B225" s="1" t="n">
        <v>44704</v>
      </c>
      <c r="C225" s="1" t="n">
        <v>46002</v>
      </c>
      <c r="D225" t="inlineStr">
        <is>
          <t>VÄSTRA GÖTALANDS LÄN</t>
        </is>
      </c>
      <c r="E225" t="inlineStr">
        <is>
          <t>STRÖMSTAD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54374-2022</t>
        </is>
      </c>
      <c r="B226" s="1" t="n">
        <v>44879</v>
      </c>
      <c r="C226" s="1" t="n">
        <v>46002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45216.3775</v>
      </c>
      <c r="C227" s="1" t="n">
        <v>46002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15695-2025</t>
        </is>
      </c>
      <c r="B228" s="1" t="n">
        <v>45748.46914351852</v>
      </c>
      <c r="C228" s="1" t="n">
        <v>46002</v>
      </c>
      <c r="D228" t="inlineStr">
        <is>
          <t>VÄSTRA GÖTALANDS LÄN</t>
        </is>
      </c>
      <c r="E228" t="inlineStr">
        <is>
          <t>STRÖMSTAD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49551-2024</t>
        </is>
      </c>
      <c r="B229" s="1" t="n">
        <v>45596.4597337963</v>
      </c>
      <c r="C229" s="1" t="n">
        <v>46002</v>
      </c>
      <c r="D229" t="inlineStr">
        <is>
          <t>VÄSTRA GÖTALANDS LÄN</t>
        </is>
      </c>
      <c r="E229" t="inlineStr">
        <is>
          <t>STRÖMSTAD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46532-2024</t>
        </is>
      </c>
      <c r="B230" s="1" t="n">
        <v>45582.63861111111</v>
      </c>
      <c r="C230" s="1" t="n">
        <v>46002</v>
      </c>
      <c r="D230" t="inlineStr">
        <is>
          <t>VÄSTRA GÖTALANDS LÄN</t>
        </is>
      </c>
      <c r="E230" t="inlineStr">
        <is>
          <t>STRÖMSTAD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12779-2025</t>
        </is>
      </c>
      <c r="B231" s="1" t="n">
        <v>45733.59574074074</v>
      </c>
      <c r="C231" s="1" t="n">
        <v>46002</v>
      </c>
      <c r="D231" t="inlineStr">
        <is>
          <t>VÄSTRA GÖTALANDS LÄN</t>
        </is>
      </c>
      <c r="E231" t="inlineStr">
        <is>
          <t>STRÖMSTAD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11931-2025</t>
        </is>
      </c>
      <c r="B232" s="1" t="n">
        <v>45728.5212962963</v>
      </c>
      <c r="C232" s="1" t="n">
        <v>46002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14087-2025</t>
        </is>
      </c>
      <c r="B233" s="1" t="n">
        <v>45739</v>
      </c>
      <c r="C233" s="1" t="n">
        <v>46002</v>
      </c>
      <c r="D233" t="inlineStr">
        <is>
          <t>VÄSTRA GÖTALANDS LÄN</t>
        </is>
      </c>
      <c r="E233" t="inlineStr">
        <is>
          <t>STRÖMSTAD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9698-2025</t>
        </is>
      </c>
      <c r="B234" s="1" t="n">
        <v>45716.37402777778</v>
      </c>
      <c r="C234" s="1" t="n">
        <v>46002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2025-12-11T10:32:30Z</dcterms:created>
  <dcterms:modified xmlns:dcterms="http://purl.org/dc/terms/" xmlns:xsi="http://www.w3.org/2001/XMLSchema-instance" xsi:type="dcterms:W3CDTF">2025-12-11T10:32:31Z</dcterms:modified>
</cp:coreProperties>
</file>